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\\10.101.12.187\KYK_Paylasim\Yurt İdare ve İş. D.Bşk\Öğrenci İşleri\yedek\2016\YAZ AYLARINDA AÇIK KALACAK YURTLAR 110.04.01\"/>
    </mc:Choice>
  </mc:AlternateContent>
  <bookViews>
    <workbookView xWindow="0" yWindow="0" windowWidth="24000" windowHeight="9750" tabRatio="801"/>
  </bookViews>
  <sheets>
    <sheet name="KAPASİTE TABLOSU" sheetId="1" r:id="rId1"/>
    <sheet name="İL-İLÇE BAZINDA KAPASİTE" sheetId="2" r:id="rId2"/>
    <sheet name="YURT TİPİ" sheetId="5" r:id="rId3"/>
  </sheets>
  <definedNames>
    <definedName name="_xlnm._FilterDatabase" localSheetId="1" hidden="1">'İL-İLÇE BAZINDA KAPASİTE'!$C$2:$F$266</definedName>
    <definedName name="_xlnm._FilterDatabase" localSheetId="0" hidden="1">'KAPASİTE TABLOSU'!#REF!</definedName>
    <definedName name="_xlnm.Print_Titles" localSheetId="1">'İL-İLÇE BAZINDA KAPASİTE'!$1:$2</definedName>
    <definedName name="_xlnm.Print_Titles" localSheetId="0">'KAPASİTE TABLOSU'!$1:$2</definedName>
    <definedName name="_xlnm.Print_Titles" localSheetId="2">'YURT TİPİ'!$1:$2</definedName>
  </definedNames>
  <calcPr calcId="152511" concurrentCalc="0"/>
</workbook>
</file>

<file path=xl/calcChain.xml><?xml version="1.0" encoding="utf-8"?>
<calcChain xmlns="http://schemas.openxmlformats.org/spreadsheetml/2006/main">
  <c r="F111" i="2" l="1"/>
  <c r="F240" i="2"/>
  <c r="F4" i="2"/>
  <c r="F57" i="2"/>
  <c r="F203" i="2"/>
  <c r="H19" i="5"/>
  <c r="D12" i="5"/>
  <c r="D14" i="5"/>
  <c r="H18" i="5"/>
  <c r="D22" i="5"/>
  <c r="H30" i="5"/>
  <c r="H48" i="5"/>
  <c r="H56" i="5"/>
  <c r="D58" i="5"/>
  <c r="D62" i="5"/>
  <c r="D65" i="5"/>
  <c r="D73" i="5"/>
  <c r="D79" i="5"/>
  <c r="H15" i="5"/>
  <c r="D20" i="5"/>
  <c r="D24" i="5"/>
  <c r="D38" i="5"/>
  <c r="D57" i="5"/>
  <c r="D59" i="5"/>
  <c r="D63" i="5"/>
  <c r="D66" i="5"/>
  <c r="D74" i="5"/>
  <c r="D81" i="5"/>
  <c r="H71" i="5"/>
  <c r="H25" i="5"/>
  <c r="H40" i="5"/>
  <c r="H31" i="5"/>
  <c r="D5" i="5"/>
  <c r="D9" i="5"/>
  <c r="D34" i="5"/>
  <c r="D37" i="5"/>
  <c r="D39" i="5"/>
  <c r="D42" i="5"/>
  <c r="D47" i="5"/>
  <c r="D50" i="5"/>
  <c r="H53" i="5"/>
  <c r="D54" i="5"/>
  <c r="D67" i="5"/>
  <c r="H42" i="5"/>
  <c r="H52" i="5"/>
  <c r="H6" i="5"/>
  <c r="D8" i="5"/>
  <c r="H16" i="5"/>
  <c r="D17" i="5"/>
  <c r="D19" i="5"/>
  <c r="D21" i="5"/>
  <c r="D31" i="5"/>
  <c r="D44" i="5"/>
  <c r="D45" i="5"/>
  <c r="D52" i="5"/>
  <c r="D55" i="5"/>
  <c r="D64" i="5"/>
  <c r="H68" i="5"/>
  <c r="H70" i="5"/>
  <c r="D71" i="5"/>
  <c r="D75" i="5"/>
  <c r="D76" i="5"/>
  <c r="D78" i="5"/>
  <c r="D80" i="5"/>
  <c r="D82" i="5"/>
  <c r="H38" i="5"/>
  <c r="H66" i="5"/>
  <c r="H74" i="5"/>
  <c r="H79" i="5"/>
  <c r="H81" i="5"/>
  <c r="H73" i="5"/>
  <c r="H34" i="5"/>
  <c r="H17" i="5"/>
  <c r="H59" i="5"/>
  <c r="H24" i="5"/>
  <c r="D3" i="5"/>
  <c r="D7" i="5"/>
  <c r="D11" i="5"/>
  <c r="D13" i="5"/>
  <c r="D15" i="5"/>
  <c r="D23" i="5"/>
  <c r="D25" i="5"/>
  <c r="D27" i="5"/>
  <c r="D29" i="5"/>
  <c r="D33" i="5"/>
  <c r="D35" i="5"/>
  <c r="D41" i="5"/>
  <c r="D43" i="5"/>
  <c r="D49" i="5"/>
  <c r="D51" i="5"/>
  <c r="D53" i="5"/>
  <c r="D61" i="5"/>
  <c r="D69" i="5"/>
  <c r="D77" i="5"/>
  <c r="D83" i="5"/>
  <c r="D4" i="5"/>
  <c r="D6" i="5"/>
  <c r="D10" i="5"/>
  <c r="D16" i="5"/>
  <c r="D18" i="5"/>
  <c r="D26" i="5"/>
  <c r="D28" i="5"/>
  <c r="D30" i="5"/>
  <c r="D32" i="5"/>
  <c r="D36" i="5"/>
  <c r="D40" i="5"/>
  <c r="D46" i="5"/>
  <c r="D48" i="5"/>
  <c r="D56" i="5"/>
  <c r="D60" i="5"/>
  <c r="D68" i="5"/>
  <c r="D70" i="5"/>
  <c r="D72" i="5"/>
  <c r="D84" i="5"/>
  <c r="F2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3" i="2"/>
  <c r="C16" i="5"/>
  <c r="B16" i="5"/>
  <c r="E16" i="5"/>
  <c r="H78" i="5"/>
  <c r="H35" i="5"/>
  <c r="H11" i="5"/>
  <c r="H37" i="5"/>
  <c r="B111" i="2"/>
  <c r="D111" i="2"/>
  <c r="C111" i="2"/>
  <c r="B240" i="2"/>
  <c r="E240" i="2"/>
  <c r="D240" i="2"/>
  <c r="C240" i="2"/>
  <c r="D4" i="2"/>
  <c r="C4" i="2"/>
  <c r="B4" i="2"/>
  <c r="E4" i="2"/>
  <c r="B57" i="2"/>
  <c r="E57" i="2"/>
  <c r="D57" i="2"/>
  <c r="C57" i="2"/>
  <c r="D203" i="2"/>
  <c r="C203" i="2"/>
  <c r="B203" i="2"/>
  <c r="B24" i="2"/>
  <c r="E24" i="2"/>
  <c r="D24" i="2"/>
  <c r="C24" i="2"/>
  <c r="E63" i="2"/>
  <c r="C63" i="2"/>
  <c r="D63" i="2"/>
  <c r="B63" i="2"/>
  <c r="E150" i="2"/>
  <c r="C150" i="2"/>
  <c r="D150" i="2"/>
  <c r="B150" i="2"/>
  <c r="E43" i="2"/>
  <c r="D43" i="2"/>
  <c r="C43" i="2"/>
  <c r="B43" i="2"/>
  <c r="D183" i="2"/>
  <c r="B183" i="2"/>
  <c r="E183" i="2"/>
  <c r="C183" i="2"/>
  <c r="D167" i="2"/>
  <c r="C167" i="2"/>
  <c r="B167" i="2"/>
  <c r="C134" i="2"/>
  <c r="D134" i="2"/>
  <c r="D99" i="2"/>
  <c r="C99" i="2"/>
  <c r="B99" i="2"/>
  <c r="D123" i="2"/>
  <c r="C123" i="2"/>
  <c r="B123" i="2"/>
  <c r="D33" i="2"/>
  <c r="C33" i="2"/>
  <c r="B33" i="2"/>
  <c r="C197" i="2"/>
  <c r="B197" i="2"/>
  <c r="C10" i="2"/>
  <c r="B10" i="2"/>
  <c r="D10" i="2"/>
  <c r="C29" i="2"/>
  <c r="C248" i="2"/>
  <c r="B29" i="2"/>
  <c r="B248" i="2"/>
  <c r="D29" i="2"/>
  <c r="D119" i="2"/>
  <c r="D248" i="2"/>
  <c r="C119" i="2"/>
  <c r="B119" i="2"/>
  <c r="B108" i="2"/>
  <c r="C161" i="2"/>
  <c r="D161" i="2"/>
  <c r="B161" i="2"/>
  <c r="D169" i="2"/>
  <c r="C169" i="2"/>
  <c r="B169" i="2"/>
  <c r="C164" i="2"/>
  <c r="D164" i="2"/>
  <c r="B164" i="2"/>
  <c r="B223" i="2"/>
  <c r="B17" i="2"/>
  <c r="B245" i="2"/>
  <c r="B15" i="2"/>
  <c r="B13" i="2"/>
  <c r="B3" i="2"/>
  <c r="B5" i="2"/>
  <c r="B261" i="2"/>
  <c r="B254" i="2"/>
  <c r="B14" i="2"/>
  <c r="B9" i="2"/>
  <c r="B265" i="2"/>
  <c r="B260" i="2"/>
  <c r="B250" i="2"/>
  <c r="B8" i="2"/>
  <c r="B264" i="2"/>
  <c r="B258" i="2"/>
  <c r="C6" i="2"/>
  <c r="D7" i="2"/>
  <c r="D14" i="2"/>
  <c r="D22" i="2"/>
  <c r="C36" i="2"/>
  <c r="D37" i="2"/>
  <c r="C53" i="2"/>
  <c r="D54" i="2"/>
  <c r="C58" i="2"/>
  <c r="D64" i="2"/>
  <c r="C67" i="2"/>
  <c r="C75" i="2"/>
  <c r="C83" i="2"/>
  <c r="D88" i="2"/>
  <c r="C104" i="2"/>
  <c r="D105" i="2"/>
  <c r="C118" i="2"/>
  <c r="C128" i="2"/>
  <c r="C5" i="2"/>
  <c r="D6" i="2"/>
  <c r="C9" i="2"/>
  <c r="C13" i="2"/>
  <c r="C25" i="2"/>
  <c r="D36" i="2"/>
  <c r="C39" i="2"/>
  <c r="C44" i="2"/>
  <c r="D53" i="2"/>
  <c r="D58" i="2"/>
  <c r="C61" i="2"/>
  <c r="D67" i="2"/>
  <c r="C74" i="2"/>
  <c r="D75" i="2"/>
  <c r="D83" i="2"/>
  <c r="C94" i="2"/>
  <c r="C103" i="2"/>
  <c r="D104" i="2"/>
  <c r="D5" i="2"/>
  <c r="C8" i="2"/>
  <c r="D9" i="2"/>
  <c r="C12" i="2"/>
  <c r="D13" i="2"/>
  <c r="C23" i="2"/>
  <c r="D25" i="2"/>
  <c r="C28" i="2"/>
  <c r="C38" i="2"/>
  <c r="D39" i="2"/>
  <c r="C42" i="2"/>
  <c r="D44" i="2"/>
  <c r="D61" i="2"/>
  <c r="C73" i="2"/>
  <c r="D74" i="2"/>
  <c r="C89" i="2"/>
  <c r="C93" i="2"/>
  <c r="D94" i="2"/>
  <c r="D103" i="2"/>
  <c r="D117" i="2"/>
  <c r="C7" i="2"/>
  <c r="D8" i="2"/>
  <c r="D12" i="2"/>
  <c r="C14" i="2"/>
  <c r="C22" i="2"/>
  <c r="D23" i="2"/>
  <c r="D28" i="2"/>
  <c r="C37" i="2"/>
  <c r="D38" i="2"/>
  <c r="D42" i="2"/>
  <c r="C54" i="2"/>
  <c r="C64" i="2"/>
  <c r="D73" i="2"/>
  <c r="C88" i="2"/>
  <c r="D89" i="2"/>
  <c r="D93" i="2"/>
  <c r="C105" i="2"/>
  <c r="C151" i="2"/>
  <c r="C155" i="2"/>
  <c r="D156" i="2"/>
  <c r="C159" i="2"/>
  <c r="D160" i="2"/>
  <c r="C178" i="2"/>
  <c r="D179" i="2"/>
  <c r="C187" i="2"/>
  <c r="D188" i="2"/>
  <c r="C208" i="2"/>
  <c r="D209" i="2"/>
  <c r="C216" i="2"/>
  <c r="D217" i="2"/>
  <c r="C117" i="2"/>
  <c r="C145" i="2"/>
  <c r="D151" i="2"/>
  <c r="D155" i="2"/>
  <c r="C158" i="2"/>
  <c r="D159" i="2"/>
  <c r="C163" i="2"/>
  <c r="C177" i="2"/>
  <c r="D178" i="2"/>
  <c r="C181" i="2"/>
  <c r="D187" i="2"/>
  <c r="C202" i="2"/>
  <c r="D208" i="2"/>
  <c r="C215" i="2"/>
  <c r="D216" i="2"/>
  <c r="D225" i="2"/>
  <c r="D233" i="2"/>
  <c r="D128" i="2"/>
  <c r="D145" i="2"/>
  <c r="C157" i="2"/>
  <c r="D158" i="2"/>
  <c r="C162" i="2"/>
  <c r="D163" i="2"/>
  <c r="C176" i="2"/>
  <c r="D177" i="2"/>
  <c r="C180" i="2"/>
  <c r="D181" i="2"/>
  <c r="D202" i="2"/>
  <c r="D215" i="2"/>
  <c r="C218" i="2"/>
  <c r="D118" i="2"/>
  <c r="C156" i="2"/>
  <c r="D157" i="2"/>
  <c r="C160" i="2"/>
  <c r="D162" i="2"/>
  <c r="D176" i="2"/>
  <c r="C179" i="2"/>
  <c r="D180" i="2"/>
  <c r="C188" i="2"/>
  <c r="C209" i="2"/>
  <c r="C217" i="2"/>
  <c r="D218" i="2"/>
  <c r="C226" i="2"/>
  <c r="D227" i="2"/>
  <c r="C234" i="2"/>
  <c r="D235" i="2"/>
  <c r="D239" i="2"/>
  <c r="C241" i="2"/>
  <c r="D244" i="2"/>
  <c r="C247" i="2"/>
  <c r="C3" i="2"/>
  <c r="B20" i="2"/>
  <c r="B25" i="2"/>
  <c r="B30" i="2"/>
  <c r="B35" i="2"/>
  <c r="B39" i="2"/>
  <c r="B44" i="2"/>
  <c r="B48" i="2"/>
  <c r="B52" i="2"/>
  <c r="B56" i="2"/>
  <c r="B61" i="2"/>
  <c r="B66" i="2"/>
  <c r="B70" i="2"/>
  <c r="B74" i="2"/>
  <c r="B78" i="2"/>
  <c r="B82" i="2"/>
  <c r="B86" i="2"/>
  <c r="B90" i="2"/>
  <c r="B94" i="2"/>
  <c r="B98" i="2"/>
  <c r="B103" i="2"/>
  <c r="B107" i="2"/>
  <c r="B113" i="2"/>
  <c r="B117" i="2"/>
  <c r="B122" i="2"/>
  <c r="B127" i="2"/>
  <c r="B131" i="2"/>
  <c r="B136" i="2"/>
  <c r="B140" i="2"/>
  <c r="B144" i="2"/>
  <c r="B148" i="2"/>
  <c r="B153" i="2"/>
  <c r="B157" i="2"/>
  <c r="B162" i="2"/>
  <c r="B168" i="2"/>
  <c r="B172" i="2"/>
  <c r="B176" i="2"/>
  <c r="B180" i="2"/>
  <c r="B185" i="2"/>
  <c r="B189" i="2"/>
  <c r="B193" i="2"/>
  <c r="B201" i="2"/>
  <c r="B206" i="2"/>
  <c r="B210" i="2"/>
  <c r="B214" i="2"/>
  <c r="B218" i="2"/>
  <c r="B222" i="2"/>
  <c r="B227" i="2"/>
  <c r="B231" i="2"/>
  <c r="B235" i="2"/>
  <c r="B239" i="2"/>
  <c r="B244" i="2"/>
  <c r="B249" i="2"/>
  <c r="B253" i="2"/>
  <c r="D226" i="2"/>
  <c r="D234" i="2"/>
  <c r="D241" i="2"/>
  <c r="C246" i="2"/>
  <c r="D247" i="2"/>
  <c r="C263" i="2"/>
  <c r="B21" i="2"/>
  <c r="B26" i="2"/>
  <c r="B31" i="2"/>
  <c r="B36" i="2"/>
  <c r="B40" i="2"/>
  <c r="B45" i="2"/>
  <c r="B49" i="2"/>
  <c r="B53" i="2"/>
  <c r="B58" i="2"/>
  <c r="B62" i="2"/>
  <c r="B67" i="2"/>
  <c r="B71" i="2"/>
  <c r="B75" i="2"/>
  <c r="B79" i="2"/>
  <c r="B83" i="2"/>
  <c r="B87" i="2"/>
  <c r="B91" i="2"/>
  <c r="B95" i="2"/>
  <c r="B100" i="2"/>
  <c r="B104" i="2"/>
  <c r="B109" i="2"/>
  <c r="B114" i="2"/>
  <c r="B118" i="2"/>
  <c r="B124" i="2"/>
  <c r="B128" i="2"/>
  <c r="B132" i="2"/>
  <c r="B137" i="2"/>
  <c r="B141" i="2"/>
  <c r="B145" i="2"/>
  <c r="B149" i="2"/>
  <c r="B154" i="2"/>
  <c r="B158" i="2"/>
  <c r="B163" i="2"/>
  <c r="B173" i="2"/>
  <c r="B177" i="2"/>
  <c r="B181" i="2"/>
  <c r="B186" i="2"/>
  <c r="B190" i="2"/>
  <c r="B194" i="2"/>
  <c r="B198" i="2"/>
  <c r="B202" i="2"/>
  <c r="B207" i="2"/>
  <c r="B211" i="2"/>
  <c r="B215" i="2"/>
  <c r="B219" i="2"/>
  <c r="B224" i="2"/>
  <c r="B228" i="2"/>
  <c r="B232" i="2"/>
  <c r="B236" i="2"/>
  <c r="B241" i="2"/>
  <c r="C227" i="2"/>
  <c r="D232" i="2"/>
  <c r="C235" i="2"/>
  <c r="C239" i="2"/>
  <c r="C245" i="2"/>
  <c r="D246" i="2"/>
  <c r="C254" i="2"/>
  <c r="C262" i="2"/>
  <c r="D263" i="2"/>
  <c r="D3" i="2"/>
  <c r="B18" i="2"/>
  <c r="B22" i="2"/>
  <c r="B27" i="2"/>
  <c r="B32" i="2"/>
  <c r="B37" i="2"/>
  <c r="B41" i="2"/>
  <c r="B46" i="2"/>
  <c r="B50" i="2"/>
  <c r="B54" i="2"/>
  <c r="B59" i="2"/>
  <c r="B64" i="2"/>
  <c r="B68" i="2"/>
  <c r="B72" i="2"/>
  <c r="B76" i="2"/>
  <c r="B80" i="2"/>
  <c r="B84" i="2"/>
  <c r="B88" i="2"/>
  <c r="B92" i="2"/>
  <c r="B96" i="2"/>
  <c r="B101" i="2"/>
  <c r="B105" i="2"/>
  <c r="B110" i="2"/>
  <c r="B115" i="2"/>
  <c r="B120" i="2"/>
  <c r="B125" i="2"/>
  <c r="B129" i="2"/>
  <c r="B133" i="2"/>
  <c r="B138" i="2"/>
  <c r="B142" i="2"/>
  <c r="B146" i="2"/>
  <c r="B151" i="2"/>
  <c r="B155" i="2"/>
  <c r="B159" i="2"/>
  <c r="B165" i="2"/>
  <c r="B170" i="2"/>
  <c r="B174" i="2"/>
  <c r="B178" i="2"/>
  <c r="B182" i="2"/>
  <c r="B187" i="2"/>
  <c r="B191" i="2"/>
  <c r="B195" i="2"/>
  <c r="B199" i="2"/>
  <c r="B204" i="2"/>
  <c r="B208" i="2"/>
  <c r="B212" i="2"/>
  <c r="B216" i="2"/>
  <c r="B220" i="2"/>
  <c r="B225" i="2"/>
  <c r="B229" i="2"/>
  <c r="B233" i="2"/>
  <c r="B237" i="2"/>
  <c r="B242" i="2"/>
  <c r="B246" i="2"/>
  <c r="B251" i="2"/>
  <c r="B255" i="2"/>
  <c r="B259" i="2"/>
  <c r="B263" i="2"/>
  <c r="B6" i="2"/>
  <c r="B11" i="2"/>
  <c r="C225" i="2"/>
  <c r="C233" i="2"/>
  <c r="C244" i="2"/>
  <c r="D245" i="2"/>
  <c r="D254" i="2"/>
  <c r="D262" i="2"/>
  <c r="B19" i="2"/>
  <c r="B23" i="2"/>
  <c r="B28" i="2"/>
  <c r="B34" i="2"/>
  <c r="B38" i="2"/>
  <c r="B42" i="2"/>
  <c r="B47" i="2"/>
  <c r="B51" i="2"/>
  <c r="B55" i="2"/>
  <c r="B60" i="2"/>
  <c r="B65" i="2"/>
  <c r="B69" i="2"/>
  <c r="B73" i="2"/>
  <c r="B77" i="2"/>
  <c r="B81" i="2"/>
  <c r="B85" i="2"/>
  <c r="B89" i="2"/>
  <c r="B93" i="2"/>
  <c r="B97" i="2"/>
  <c r="B102" i="2"/>
  <c r="B106" i="2"/>
  <c r="B112" i="2"/>
  <c r="B116" i="2"/>
  <c r="B121" i="2"/>
  <c r="B126" i="2"/>
  <c r="B130" i="2"/>
  <c r="B135" i="2"/>
  <c r="B139" i="2"/>
  <c r="B143" i="2"/>
  <c r="B147" i="2"/>
  <c r="B152" i="2"/>
  <c r="B156" i="2"/>
  <c r="B160" i="2"/>
  <c r="B166" i="2"/>
  <c r="B171" i="2"/>
  <c r="B175" i="2"/>
  <c r="B179" i="2"/>
  <c r="B184" i="2"/>
  <c r="B188" i="2"/>
  <c r="B192" i="2"/>
  <c r="B196" i="2"/>
  <c r="B200" i="2"/>
  <c r="B205" i="2"/>
  <c r="B209" i="2"/>
  <c r="B213" i="2"/>
  <c r="B217" i="2"/>
  <c r="B221" i="2"/>
  <c r="B226" i="2"/>
  <c r="B230" i="2"/>
  <c r="B234" i="2"/>
  <c r="B238" i="2"/>
  <c r="B243" i="2"/>
  <c r="B247" i="2"/>
  <c r="B252" i="2"/>
  <c r="B256" i="2"/>
  <c r="B16" i="2"/>
  <c r="B12" i="2"/>
  <c r="B7" i="2"/>
  <c r="B262" i="2"/>
  <c r="B257" i="2"/>
  <c r="B266" i="2"/>
  <c r="F16" i="5"/>
  <c r="G16" i="5"/>
  <c r="I16" i="5"/>
  <c r="C59" i="5"/>
  <c r="B59" i="5"/>
  <c r="C71" i="5"/>
  <c r="B71" i="5"/>
  <c r="C73" i="5"/>
  <c r="B73" i="5"/>
  <c r="C83" i="5"/>
  <c r="B83" i="5"/>
  <c r="C57" i="5"/>
  <c r="B57" i="5"/>
  <c r="C67" i="5"/>
  <c r="B67" i="5"/>
  <c r="C70" i="5"/>
  <c r="B70" i="5"/>
  <c r="B64" i="5"/>
  <c r="C64" i="5"/>
  <c r="C65" i="5"/>
  <c r="B65" i="5"/>
  <c r="C66" i="5"/>
  <c r="B66" i="5"/>
  <c r="C69" i="5"/>
  <c r="B69" i="5"/>
  <c r="B72" i="5"/>
  <c r="C72" i="5"/>
  <c r="C78" i="5"/>
  <c r="B78" i="5"/>
  <c r="B80" i="5"/>
  <c r="C80" i="5"/>
  <c r="C82" i="5"/>
  <c r="B82" i="5"/>
  <c r="C58" i="5"/>
  <c r="B58" i="5"/>
  <c r="C74" i="5"/>
  <c r="B74" i="5"/>
  <c r="B84" i="5"/>
  <c r="G84" i="5"/>
  <c r="F84" i="5"/>
  <c r="C84" i="5"/>
  <c r="B76" i="5"/>
  <c r="C76" i="5"/>
  <c r="C77" i="5"/>
  <c r="B77" i="5"/>
  <c r="C79" i="5"/>
  <c r="B79" i="5"/>
  <c r="C81" i="5"/>
  <c r="B81" i="5"/>
  <c r="G81" i="5"/>
  <c r="F81" i="5"/>
  <c r="B60" i="5"/>
  <c r="C60" i="5"/>
  <c r="B61" i="5"/>
  <c r="C61" i="5"/>
  <c r="C62" i="5"/>
  <c r="B62" i="5"/>
  <c r="C63" i="5"/>
  <c r="B63" i="5"/>
  <c r="B68" i="5"/>
  <c r="C68" i="5"/>
  <c r="C75" i="5"/>
  <c r="B75" i="5"/>
  <c r="C41" i="5"/>
  <c r="B41" i="5"/>
  <c r="B42" i="5"/>
  <c r="C42" i="5"/>
  <c r="C54" i="5"/>
  <c r="B54" i="5"/>
  <c r="B34" i="5"/>
  <c r="C34" i="5"/>
  <c r="C36" i="5"/>
  <c r="B36" i="5"/>
  <c r="B39" i="5"/>
  <c r="C39" i="5"/>
  <c r="C37" i="5"/>
  <c r="B37" i="5"/>
  <c r="C40" i="5"/>
  <c r="B40" i="5"/>
  <c r="B43" i="5"/>
  <c r="C43" i="5"/>
  <c r="C44" i="5"/>
  <c r="B44" i="5"/>
  <c r="C45" i="5"/>
  <c r="B45" i="5"/>
  <c r="B48" i="5"/>
  <c r="C48" i="5"/>
  <c r="C49" i="5"/>
  <c r="B49" i="5"/>
  <c r="C50" i="5"/>
  <c r="B50" i="5"/>
  <c r="B52" i="5"/>
  <c r="C52" i="5"/>
  <c r="B55" i="5"/>
  <c r="C55" i="5"/>
  <c r="B56" i="5"/>
  <c r="C56" i="5"/>
  <c r="C33" i="5"/>
  <c r="B33" i="5"/>
  <c r="B35" i="5"/>
  <c r="C35" i="5"/>
  <c r="B38" i="5"/>
  <c r="C38" i="5"/>
  <c r="B46" i="5"/>
  <c r="C46" i="5"/>
  <c r="B51" i="5"/>
  <c r="C51" i="5"/>
  <c r="C53" i="5"/>
  <c r="B53" i="5"/>
  <c r="G18" i="5"/>
  <c r="C18" i="5"/>
  <c r="B18" i="5"/>
  <c r="C25" i="5"/>
  <c r="B25" i="5"/>
  <c r="B28" i="5"/>
  <c r="C28" i="5"/>
  <c r="B20" i="5"/>
  <c r="C20" i="5"/>
  <c r="C22" i="5"/>
  <c r="B22" i="5"/>
  <c r="B24" i="5"/>
  <c r="C24" i="5"/>
  <c r="C27" i="5"/>
  <c r="B27" i="5"/>
  <c r="C30" i="5"/>
  <c r="B30" i="5"/>
  <c r="C17" i="5"/>
  <c r="B17" i="5"/>
  <c r="G17" i="5"/>
  <c r="C26" i="5"/>
  <c r="B26" i="5"/>
  <c r="C32" i="5"/>
  <c r="B32" i="5"/>
  <c r="C19" i="5"/>
  <c r="B19" i="5"/>
  <c r="C21" i="5"/>
  <c r="B21" i="5"/>
  <c r="C23" i="5"/>
  <c r="B23" i="5"/>
  <c r="C29" i="5"/>
  <c r="B29" i="5"/>
  <c r="C31" i="5"/>
  <c r="B31" i="5"/>
  <c r="C47" i="5"/>
  <c r="G47" i="5"/>
  <c r="B47" i="5"/>
  <c r="C15" i="5"/>
  <c r="B15" i="5"/>
  <c r="C4" i="5"/>
  <c r="B4" i="5"/>
  <c r="C7" i="5"/>
  <c r="B7" i="5"/>
  <c r="C12" i="5"/>
  <c r="B12" i="5"/>
  <c r="C13" i="5"/>
  <c r="B13" i="5"/>
  <c r="C3" i="5"/>
  <c r="B3" i="5"/>
  <c r="G3" i="5"/>
  <c r="C5" i="5"/>
  <c r="B5" i="5"/>
  <c r="C11" i="5"/>
  <c r="B11" i="5"/>
  <c r="B14" i="5"/>
  <c r="C14" i="5"/>
  <c r="B6" i="5"/>
  <c r="C6" i="5"/>
  <c r="B10" i="5"/>
  <c r="C10" i="5"/>
  <c r="C8" i="5"/>
  <c r="B8" i="5"/>
  <c r="C9" i="5"/>
  <c r="B9" i="5"/>
  <c r="E75" i="5"/>
  <c r="E63" i="5"/>
  <c r="E84" i="5"/>
  <c r="E80" i="5"/>
  <c r="E78" i="5"/>
  <c r="E72" i="5"/>
  <c r="E69" i="5"/>
  <c r="E65" i="5"/>
  <c r="E67" i="5"/>
  <c r="E57" i="5"/>
  <c r="E83" i="5"/>
  <c r="E73" i="5"/>
  <c r="E71" i="5"/>
  <c r="I81" i="5"/>
  <c r="E58" i="5"/>
  <c r="E66" i="5"/>
  <c r="E68" i="5"/>
  <c r="E60" i="5"/>
  <c r="E79" i="5"/>
  <c r="E77" i="5"/>
  <c r="E76" i="5"/>
  <c r="E59" i="5"/>
  <c r="E62" i="5"/>
  <c r="E61" i="5"/>
  <c r="E81" i="5"/>
  <c r="E74" i="5"/>
  <c r="E82" i="5"/>
  <c r="E64" i="5"/>
  <c r="E70" i="5"/>
  <c r="E46" i="5"/>
  <c r="E33" i="5"/>
  <c r="E50" i="5"/>
  <c r="E35" i="5"/>
  <c r="E56" i="5"/>
  <c r="E52" i="5"/>
  <c r="E44" i="5"/>
  <c r="E43" i="5"/>
  <c r="E40" i="5"/>
  <c r="E51" i="5"/>
  <c r="E38" i="5"/>
  <c r="E55" i="5"/>
  <c r="E45" i="5"/>
  <c r="E37" i="5"/>
  <c r="E34" i="5"/>
  <c r="E54" i="5"/>
  <c r="E42" i="5"/>
  <c r="E41" i="5"/>
  <c r="E53" i="5"/>
  <c r="E49" i="5"/>
  <c r="E48" i="5"/>
  <c r="E39" i="5"/>
  <c r="E36" i="5"/>
  <c r="E28" i="5"/>
  <c r="E22" i="5"/>
  <c r="E23" i="5"/>
  <c r="E19" i="5"/>
  <c r="E29" i="5"/>
  <c r="E21" i="5"/>
  <c r="E26" i="5"/>
  <c r="E17" i="5"/>
  <c r="E30" i="5"/>
  <c r="E24" i="5"/>
  <c r="E20" i="5"/>
  <c r="E32" i="5"/>
  <c r="E27" i="5"/>
  <c r="E25" i="5"/>
  <c r="E18" i="5"/>
  <c r="E31" i="5"/>
  <c r="E47" i="5"/>
  <c r="E9" i="5"/>
  <c r="E10" i="5"/>
  <c r="E14" i="5"/>
  <c r="E5" i="5"/>
  <c r="E13" i="5"/>
  <c r="D85" i="5"/>
  <c r="E3" i="5"/>
  <c r="B85" i="5"/>
  <c r="E7" i="5"/>
  <c r="E15" i="5"/>
  <c r="E8" i="5"/>
  <c r="E6" i="5"/>
  <c r="E12" i="5"/>
  <c r="E4" i="5"/>
  <c r="E11" i="5"/>
  <c r="C85" i="5"/>
  <c r="E85" i="5"/>
  <c r="G41" i="5"/>
  <c r="F41" i="5"/>
  <c r="D256" i="2"/>
  <c r="C256" i="2"/>
  <c r="E256" i="2"/>
  <c r="C257" i="2"/>
  <c r="D257" i="2"/>
  <c r="C65" i="2"/>
  <c r="D65" i="2"/>
  <c r="D230" i="2"/>
  <c r="C230" i="2"/>
  <c r="G74" i="5"/>
  <c r="D110" i="2"/>
  <c r="C110" i="2"/>
  <c r="G38" i="5"/>
  <c r="G76" i="5"/>
  <c r="D221" i="2"/>
  <c r="C221" i="2"/>
  <c r="G71" i="5"/>
  <c r="D19" i="2"/>
  <c r="C19" i="2"/>
  <c r="D250" i="2"/>
  <c r="C250" i="2"/>
  <c r="G78" i="5"/>
  <c r="G4" i="5"/>
  <c r="G80" i="5"/>
  <c r="G65" i="5"/>
  <c r="C153" i="2"/>
  <c r="C154" i="2"/>
  <c r="C260" i="2"/>
  <c r="C261" i="2"/>
  <c r="D153" i="2"/>
  <c r="D154" i="2"/>
  <c r="C20" i="2"/>
  <c r="D20" i="2"/>
  <c r="D165" i="2"/>
  <c r="C165" i="2"/>
  <c r="D258" i="2"/>
  <c r="C258" i="2"/>
  <c r="G82" i="5"/>
  <c r="D144" i="2"/>
  <c r="C121" i="2"/>
  <c r="D229" i="2"/>
  <c r="C229" i="2"/>
  <c r="G73" i="5"/>
  <c r="D147" i="2"/>
  <c r="C147" i="2"/>
  <c r="C174" i="2"/>
  <c r="C175" i="2"/>
  <c r="D137" i="2"/>
  <c r="D138" i="2"/>
  <c r="D174" i="2"/>
  <c r="D175" i="2"/>
  <c r="C137" i="2"/>
  <c r="C138" i="2"/>
  <c r="C259" i="2"/>
  <c r="D259" i="2"/>
  <c r="D146" i="2"/>
  <c r="D139" i="2"/>
  <c r="D182" i="2"/>
  <c r="C139" i="2"/>
  <c r="C182" i="2"/>
  <c r="D96" i="2"/>
  <c r="C96" i="2"/>
  <c r="D49" i="2"/>
  <c r="C49" i="2"/>
  <c r="D135" i="2"/>
  <c r="C135" i="2"/>
  <c r="D114" i="2"/>
  <c r="C114" i="2"/>
  <c r="F40" i="5"/>
  <c r="D31" i="2"/>
  <c r="C31" i="2"/>
  <c r="C48" i="2"/>
  <c r="D48" i="2"/>
  <c r="G11" i="5"/>
  <c r="D16" i="2"/>
  <c r="D142" i="2"/>
  <c r="C142" i="2"/>
  <c r="D220" i="2"/>
  <c r="C220" i="2"/>
  <c r="G59" i="5"/>
  <c r="C35" i="2"/>
  <c r="D72" i="2"/>
  <c r="C72" i="2"/>
  <c r="D66" i="2"/>
  <c r="C66" i="2"/>
  <c r="D56" i="2"/>
  <c r="C56" i="2"/>
  <c r="G51" i="5"/>
  <c r="H51" i="5"/>
  <c r="C184" i="2"/>
  <c r="D184" i="2"/>
  <c r="D40" i="2"/>
  <c r="D35" i="2"/>
  <c r="D81" i="2"/>
  <c r="D82" i="2"/>
  <c r="D91" i="2"/>
  <c r="D92" i="2"/>
  <c r="C86" i="2"/>
  <c r="C87" i="2"/>
  <c r="C81" i="2"/>
  <c r="C82" i="2"/>
  <c r="C91" i="2"/>
  <c r="C92" i="2"/>
  <c r="C78" i="2"/>
  <c r="C79" i="2"/>
  <c r="D78" i="2"/>
  <c r="D79" i="2"/>
  <c r="D86" i="2"/>
  <c r="D87" i="2"/>
  <c r="D166" i="2"/>
  <c r="D168" i="2"/>
  <c r="C148" i="2"/>
  <c r="C149" i="2"/>
  <c r="D148" i="2"/>
  <c r="D149" i="2"/>
  <c r="C166" i="2"/>
  <c r="C168" i="2"/>
  <c r="C40" i="2"/>
  <c r="D170" i="2"/>
  <c r="D97" i="2"/>
  <c r="D50" i="2"/>
  <c r="C97" i="2"/>
  <c r="C170" i="2"/>
  <c r="D84" i="2"/>
  <c r="C143" i="2"/>
  <c r="C50" i="2"/>
  <c r="D90" i="2"/>
  <c r="D143" i="2"/>
  <c r="D95" i="2"/>
  <c r="C90" i="2"/>
  <c r="C95" i="2"/>
  <c r="C84" i="2"/>
  <c r="C76" i="2"/>
  <c r="D68" i="2"/>
  <c r="D76" i="2"/>
  <c r="C68" i="2"/>
  <c r="D80" i="2"/>
  <c r="C80" i="2"/>
  <c r="D152" i="2"/>
  <c r="C152" i="2"/>
  <c r="C59" i="2"/>
  <c r="D59" i="2"/>
  <c r="D116" i="2"/>
  <c r="D27" i="2"/>
  <c r="C27" i="2"/>
  <c r="D140" i="2"/>
  <c r="C140" i="2"/>
  <c r="D136" i="2"/>
  <c r="C136" i="2"/>
  <c r="D69" i="2"/>
  <c r="C69" i="2"/>
  <c r="G25" i="5"/>
  <c r="F66" i="5"/>
  <c r="F64" i="5"/>
  <c r="H39" i="5"/>
  <c r="D205" i="2"/>
  <c r="C205" i="2"/>
  <c r="G39" i="5"/>
  <c r="C115" i="2"/>
  <c r="C116" i="2"/>
  <c r="D120" i="2"/>
  <c r="D115" i="2"/>
  <c r="C120" i="2"/>
  <c r="D30" i="2"/>
  <c r="C30" i="2"/>
  <c r="C60" i="2"/>
  <c r="G22" i="5"/>
  <c r="D62" i="2"/>
  <c r="D60" i="2"/>
  <c r="C62" i="2"/>
  <c r="H26" i="5"/>
  <c r="C41" i="2"/>
  <c r="D45" i="2"/>
  <c r="D41" i="2"/>
  <c r="C45" i="2"/>
  <c r="C16" i="2"/>
  <c r="F59" i="5"/>
  <c r="I59" i="5"/>
  <c r="H84" i="5"/>
  <c r="I84" i="5"/>
  <c r="H12" i="5"/>
  <c r="E33" i="2"/>
  <c r="G15" i="5"/>
  <c r="G63" i="5"/>
  <c r="G75" i="5"/>
  <c r="G54" i="5"/>
  <c r="G10" i="5"/>
  <c r="D196" i="2"/>
  <c r="C46" i="2"/>
  <c r="D46" i="2"/>
  <c r="C195" i="2"/>
  <c r="C196" i="2"/>
  <c r="D197" i="2"/>
  <c r="D195" i="2"/>
  <c r="C112" i="2"/>
  <c r="D186" i="2"/>
  <c r="C198" i="2"/>
  <c r="D198" i="2"/>
  <c r="C21" i="2"/>
  <c r="D141" i="2"/>
  <c r="C211" i="2"/>
  <c r="D191" i="2"/>
  <c r="C251" i="2"/>
  <c r="D251" i="2"/>
  <c r="C47" i="2"/>
  <c r="D47" i="2"/>
  <c r="C51" i="2"/>
  <c r="D51" i="2"/>
  <c r="C77" i="2"/>
  <c r="D77" i="2"/>
  <c r="C11" i="2"/>
  <c r="D127" i="2"/>
  <c r="D121" i="2"/>
  <c r="D124" i="2"/>
  <c r="C144" i="2"/>
  <c r="C224" i="2"/>
  <c r="C17" i="2"/>
  <c r="C132" i="2"/>
  <c r="C85" i="2"/>
  <c r="D85" i="2"/>
  <c r="D172" i="2"/>
  <c r="C70" i="2"/>
  <c r="D214" i="2"/>
  <c r="D238" i="2"/>
  <c r="C32" i="2"/>
  <c r="D102" i="2"/>
  <c r="D108" i="2"/>
  <c r="D201" i="2"/>
  <c r="D207" i="2"/>
  <c r="C243" i="2"/>
  <c r="C52" i="2"/>
  <c r="C193" i="2"/>
  <c r="D253" i="2"/>
  <c r="C130" i="2"/>
  <c r="H3" i="5"/>
  <c r="F3" i="5"/>
  <c r="D18" i="2"/>
  <c r="D17" i="2"/>
  <c r="D15" i="2"/>
  <c r="D11" i="2"/>
  <c r="D26" i="2"/>
  <c r="D21" i="2"/>
  <c r="D34" i="2"/>
  <c r="D32" i="2"/>
  <c r="C107" i="2"/>
  <c r="C108" i="2"/>
  <c r="C101" i="2"/>
  <c r="C102" i="2"/>
  <c r="D71" i="2"/>
  <c r="D70" i="2"/>
  <c r="D55" i="2"/>
  <c r="D52" i="2"/>
  <c r="D109" i="2"/>
  <c r="D107" i="2"/>
  <c r="D106" i="2"/>
  <c r="D101" i="2"/>
  <c r="D113" i="2"/>
  <c r="D112" i="2"/>
  <c r="D260" i="2"/>
  <c r="D261" i="2"/>
  <c r="C126" i="2"/>
  <c r="C127" i="2"/>
  <c r="C264" i="2"/>
  <c r="C265" i="2"/>
  <c r="C252" i="2"/>
  <c r="C253" i="2"/>
  <c r="C206" i="2"/>
  <c r="C207" i="2"/>
  <c r="D223" i="2"/>
  <c r="D224" i="2"/>
  <c r="C122" i="2"/>
  <c r="C124" i="2"/>
  <c r="C190" i="2"/>
  <c r="C191" i="2"/>
  <c r="C185" i="2"/>
  <c r="C186" i="2"/>
  <c r="C213" i="2"/>
  <c r="C214" i="2"/>
  <c r="C171" i="2"/>
  <c r="C172" i="2"/>
  <c r="C200" i="2"/>
  <c r="C201" i="2"/>
  <c r="C237" i="2"/>
  <c r="C238" i="2"/>
  <c r="C231" i="2"/>
  <c r="C232" i="2"/>
  <c r="D131" i="2"/>
  <c r="D130" i="2"/>
  <c r="D129" i="2"/>
  <c r="D126" i="2"/>
  <c r="D125" i="2"/>
  <c r="D122" i="2"/>
  <c r="D133" i="2"/>
  <c r="D132" i="2"/>
  <c r="D255" i="2"/>
  <c r="D252" i="2"/>
  <c r="D210" i="2"/>
  <c r="D206" i="2"/>
  <c r="D192" i="2"/>
  <c r="D190" i="2"/>
  <c r="D189" i="2"/>
  <c r="D185" i="2"/>
  <c r="C222" i="2"/>
  <c r="C223" i="2"/>
  <c r="D219" i="2"/>
  <c r="D213" i="2"/>
  <c r="D173" i="2"/>
  <c r="D171" i="2"/>
  <c r="D194" i="2"/>
  <c r="D193" i="2"/>
  <c r="D249" i="2"/>
  <c r="D243" i="2"/>
  <c r="D204" i="2"/>
  <c r="D200" i="2"/>
  <c r="D242" i="2"/>
  <c r="D237" i="2"/>
  <c r="D236" i="2"/>
  <c r="D231" i="2"/>
  <c r="D212" i="2"/>
  <c r="D211" i="2"/>
  <c r="D228" i="2"/>
  <c r="D222" i="2"/>
  <c r="E5" i="2"/>
  <c r="C71" i="2"/>
  <c r="C236" i="2"/>
  <c r="C255" i="2"/>
  <c r="C109" i="2"/>
  <c r="C219" i="2"/>
  <c r="C173" i="2"/>
  <c r="C133" i="2"/>
  <c r="C228" i="2"/>
  <c r="C189" i="2"/>
  <c r="C131" i="2"/>
  <c r="C194" i="2"/>
  <c r="C249" i="2"/>
  <c r="C204" i="2"/>
  <c r="C106" i="2"/>
  <c r="C242" i="2"/>
  <c r="C146" i="2"/>
  <c r="C113" i="2"/>
  <c r="C34" i="2"/>
  <c r="C125" i="2"/>
  <c r="C18" i="2"/>
  <c r="C129" i="2"/>
  <c r="C212" i="2"/>
  <c r="C26" i="2"/>
  <c r="C210" i="2"/>
  <c r="C15" i="2"/>
  <c r="C192" i="2"/>
  <c r="C141" i="2"/>
  <c r="C199" i="2"/>
  <c r="D199" i="2"/>
  <c r="G58" i="5"/>
  <c r="C98" i="2"/>
  <c r="H83" i="5"/>
  <c r="H45" i="5"/>
  <c r="G45" i="5"/>
  <c r="F15" i="5"/>
  <c r="I15" i="5"/>
  <c r="F80" i="5"/>
  <c r="F74" i="5"/>
  <c r="I74" i="5"/>
  <c r="H62" i="5"/>
  <c r="G62" i="5"/>
  <c r="F62" i="5"/>
  <c r="F38" i="5"/>
  <c r="I38" i="5"/>
  <c r="F20" i="5"/>
  <c r="F77" i="5"/>
  <c r="F67" i="5"/>
  <c r="F65" i="5"/>
  <c r="G37" i="5"/>
  <c r="G36" i="5"/>
  <c r="F12" i="5"/>
  <c r="G12" i="5"/>
  <c r="G69" i="5"/>
  <c r="F26" i="5"/>
  <c r="G26" i="5"/>
  <c r="H8" i="5"/>
  <c r="F8" i="5"/>
  <c r="G8" i="5"/>
  <c r="F78" i="5"/>
  <c r="I78" i="5"/>
  <c r="H57" i="5"/>
  <c r="G57" i="5"/>
  <c r="F4" i="5"/>
  <c r="H7" i="5"/>
  <c r="H46" i="5"/>
  <c r="F46" i="5"/>
  <c r="G46" i="5"/>
  <c r="G7" i="5"/>
  <c r="H82" i="5"/>
  <c r="G72" i="5"/>
  <c r="H63" i="5"/>
  <c r="G52" i="5"/>
  <c r="H49" i="5"/>
  <c r="G49" i="5"/>
  <c r="E123" i="2"/>
  <c r="H43" i="5"/>
  <c r="G53" i="5"/>
  <c r="F53" i="5"/>
  <c r="G44" i="5"/>
  <c r="E167" i="2"/>
  <c r="G56" i="5"/>
  <c r="H5" i="5"/>
  <c r="G5" i="5"/>
  <c r="H47" i="5"/>
  <c r="G40" i="5"/>
  <c r="I40" i="5"/>
  <c r="G32" i="5"/>
  <c r="F17" i="5"/>
  <c r="I17" i="5"/>
  <c r="F11" i="5"/>
  <c r="I11" i="5"/>
  <c r="F6" i="5"/>
  <c r="G6" i="5"/>
  <c r="F75" i="5"/>
  <c r="G70" i="5"/>
  <c r="F70" i="5"/>
  <c r="H28" i="5"/>
  <c r="G19" i="5"/>
  <c r="F19" i="5"/>
  <c r="G79" i="5"/>
  <c r="F79" i="5"/>
  <c r="G61" i="5"/>
  <c r="F61" i="5"/>
  <c r="H23" i="5"/>
  <c r="F23" i="5"/>
  <c r="H14" i="5"/>
  <c r="G14" i="5"/>
  <c r="G68" i="5"/>
  <c r="H29" i="5"/>
  <c r="G29" i="5"/>
  <c r="G21" i="5"/>
  <c r="H22" i="5"/>
  <c r="F22" i="5"/>
  <c r="F10" i="5"/>
  <c r="H50" i="5"/>
  <c r="F50" i="5"/>
  <c r="G50" i="5"/>
  <c r="F48" i="5"/>
  <c r="G48" i="5"/>
  <c r="F25" i="5"/>
  <c r="I25" i="5"/>
  <c r="H64" i="5"/>
  <c r="G64" i="5"/>
  <c r="H60" i="5"/>
  <c r="E111" i="2"/>
  <c r="F28" i="5"/>
  <c r="I3" i="5"/>
  <c r="G66" i="5"/>
  <c r="I66" i="5"/>
  <c r="E203" i="2"/>
  <c r="H10" i="5"/>
  <c r="H21" i="5"/>
  <c r="H54" i="5"/>
  <c r="H13" i="5"/>
  <c r="H75" i="5"/>
  <c r="H33" i="5"/>
  <c r="H72" i="5"/>
  <c r="H4" i="5"/>
  <c r="I4" i="5"/>
  <c r="H69" i="5"/>
  <c r="H76" i="5"/>
  <c r="H65" i="5"/>
  <c r="I65" i="5"/>
  <c r="H77" i="5"/>
  <c r="H20" i="5"/>
  <c r="H9" i="5"/>
  <c r="H61" i="5"/>
  <c r="I61" i="5"/>
  <c r="F63" i="5"/>
  <c r="I63" i="5"/>
  <c r="H55" i="5"/>
  <c r="H36" i="5"/>
  <c r="H41" i="5"/>
  <c r="I41" i="5"/>
  <c r="H27" i="5"/>
  <c r="H32" i="5"/>
  <c r="H44" i="5"/>
  <c r="H80" i="5"/>
  <c r="I80" i="5"/>
  <c r="H58" i="5"/>
  <c r="H67" i="5"/>
  <c r="C55" i="2"/>
  <c r="F30" i="5"/>
  <c r="F60" i="5"/>
  <c r="I22" i="5"/>
  <c r="G24" i="5"/>
  <c r="G13" i="5"/>
  <c r="F27" i="5"/>
  <c r="I19" i="5"/>
  <c r="G30" i="5"/>
  <c r="F51" i="5"/>
  <c r="I51" i="5"/>
  <c r="G34" i="5"/>
  <c r="G35" i="5"/>
  <c r="G55" i="5"/>
  <c r="F31" i="5"/>
  <c r="G67" i="5"/>
  <c r="G28" i="5"/>
  <c r="I28" i="5"/>
  <c r="F34" i="5"/>
  <c r="F35" i="5"/>
  <c r="F72" i="5"/>
  <c r="F57" i="5"/>
  <c r="I57" i="5"/>
  <c r="F36" i="5"/>
  <c r="F37" i="5"/>
  <c r="I37" i="5"/>
  <c r="I64" i="5"/>
  <c r="I70" i="5"/>
  <c r="I53" i="5"/>
  <c r="F5" i="5"/>
  <c r="I5" i="5"/>
  <c r="I62" i="5"/>
  <c r="F76" i="5"/>
  <c r="I50" i="5"/>
  <c r="F68" i="5"/>
  <c r="I68" i="5"/>
  <c r="F18" i="5"/>
  <c r="I18" i="5"/>
  <c r="F56" i="5"/>
  <c r="I56" i="5"/>
  <c r="F44" i="5"/>
  <c r="F73" i="5"/>
  <c r="I73" i="5"/>
  <c r="F82" i="5"/>
  <c r="I82" i="5"/>
  <c r="F7" i="5"/>
  <c r="I7" i="5"/>
  <c r="I8" i="5"/>
  <c r="F69" i="5"/>
  <c r="I69" i="5"/>
  <c r="F71" i="5"/>
  <c r="I71" i="5"/>
  <c r="F39" i="5"/>
  <c r="I39" i="5"/>
  <c r="F29" i="5"/>
  <c r="I29" i="5"/>
  <c r="F54" i="5"/>
  <c r="I6" i="5"/>
  <c r="F55" i="5"/>
  <c r="I12" i="5"/>
  <c r="F45" i="5"/>
  <c r="I45" i="5"/>
  <c r="G83" i="5"/>
  <c r="G60" i="5"/>
  <c r="I48" i="5"/>
  <c r="F21" i="5"/>
  <c r="F24" i="5"/>
  <c r="F13" i="5"/>
  <c r="G27" i="5"/>
  <c r="I10" i="5"/>
  <c r="F14" i="5"/>
  <c r="I14" i="5"/>
  <c r="I79" i="5"/>
  <c r="I75" i="5"/>
  <c r="F58" i="5"/>
  <c r="I46" i="5"/>
  <c r="I26" i="5"/>
  <c r="G77" i="5"/>
  <c r="G20" i="5"/>
  <c r="F83" i="5"/>
  <c r="G31" i="5"/>
  <c r="F33" i="5"/>
  <c r="G43" i="5"/>
  <c r="F43" i="5"/>
  <c r="F42" i="5"/>
  <c r="F49" i="5"/>
  <c r="I49" i="5"/>
  <c r="G23" i="5"/>
  <c r="F32" i="5"/>
  <c r="G33" i="5"/>
  <c r="G42" i="5"/>
  <c r="F52" i="5"/>
  <c r="I52" i="5"/>
  <c r="G9" i="5"/>
  <c r="F47" i="5"/>
  <c r="F9" i="5"/>
  <c r="E134" i="2"/>
  <c r="E99" i="2"/>
  <c r="E61" i="2"/>
  <c r="E22" i="2"/>
  <c r="E67" i="2"/>
  <c r="E38" i="2"/>
  <c r="E117" i="2"/>
  <c r="E75" i="2"/>
  <c r="E178" i="2"/>
  <c r="E145" i="2"/>
  <c r="E159" i="2"/>
  <c r="E7" i="2"/>
  <c r="E42" i="2"/>
  <c r="E14" i="2"/>
  <c r="E8" i="2"/>
  <c r="E216" i="2"/>
  <c r="E164" i="2"/>
  <c r="E10" i="2"/>
  <c r="E23" i="2"/>
  <c r="E12" i="2"/>
  <c r="E39" i="2"/>
  <c r="E88" i="2"/>
  <c r="E208" i="2"/>
  <c r="E187" i="2"/>
  <c r="E36" i="2"/>
  <c r="E25" i="2"/>
  <c r="E225" i="2"/>
  <c r="E246" i="2"/>
  <c r="E35" i="2"/>
  <c r="E53" i="2"/>
  <c r="E58" i="2"/>
  <c r="E44" i="2"/>
  <c r="E104" i="2"/>
  <c r="E54" i="2"/>
  <c r="E116" i="2"/>
  <c r="E83" i="2"/>
  <c r="E93" i="2"/>
  <c r="E115" i="2"/>
  <c r="E73" i="2"/>
  <c r="E74" i="2"/>
  <c r="E94" i="2"/>
  <c r="E105" i="2"/>
  <c r="D100" i="2"/>
  <c r="D98" i="2"/>
  <c r="E89" i="2"/>
  <c r="E103" i="2"/>
  <c r="E248" i="2"/>
  <c r="D264" i="2"/>
  <c r="D265" i="2"/>
  <c r="E176" i="2"/>
  <c r="E227" i="2"/>
  <c r="E157" i="2"/>
  <c r="E239" i="2"/>
  <c r="E244" i="2"/>
  <c r="E263" i="2"/>
  <c r="E180" i="2"/>
  <c r="E151" i="2"/>
  <c r="E234" i="2"/>
  <c r="E160" i="2"/>
  <c r="E161" i="2"/>
  <c r="E232" i="2"/>
  <c r="E128" i="2"/>
  <c r="E28" i="2"/>
  <c r="E29" i="2"/>
  <c r="E118" i="2"/>
  <c r="E119" i="2"/>
  <c r="E169" i="2"/>
  <c r="E188" i="2"/>
  <c r="E233" i="2"/>
  <c r="E179" i="2"/>
  <c r="E226" i="2"/>
  <c r="E155" i="2"/>
  <c r="E156" i="2"/>
  <c r="E215" i="2"/>
  <c r="E209" i="2"/>
  <c r="E247" i="2"/>
  <c r="E262" i="2"/>
  <c r="E162" i="2"/>
  <c r="E163" i="2"/>
  <c r="E217" i="2"/>
  <c r="E218" i="2"/>
  <c r="E235" i="2"/>
  <c r="E177" i="2"/>
  <c r="E241" i="2"/>
  <c r="E202" i="2"/>
  <c r="E245" i="2"/>
  <c r="E254" i="2"/>
  <c r="E181" i="2"/>
  <c r="E37" i="2"/>
  <c r="E13" i="2"/>
  <c r="E49" i="2"/>
  <c r="E3" i="2"/>
  <c r="E184" i="2"/>
  <c r="E250" i="2"/>
  <c r="E257" i="2"/>
  <c r="E158" i="2"/>
  <c r="E6" i="2"/>
  <c r="E9" i="2"/>
  <c r="C100" i="2"/>
  <c r="E231" i="2"/>
  <c r="I20" i="5"/>
  <c r="C266" i="2"/>
  <c r="I54" i="5"/>
  <c r="I72" i="5"/>
  <c r="I77" i="5"/>
  <c r="I83" i="5"/>
  <c r="I55" i="5"/>
  <c r="I27" i="5"/>
  <c r="I30" i="5"/>
  <c r="I76" i="5"/>
  <c r="I32" i="5"/>
  <c r="I35" i="5"/>
  <c r="I60" i="5"/>
  <c r="I24" i="5"/>
  <c r="I23" i="5"/>
  <c r="I34" i="5"/>
  <c r="I58" i="5"/>
  <c r="I9" i="5"/>
  <c r="I31" i="5"/>
  <c r="I67" i="5"/>
  <c r="I36" i="5"/>
  <c r="I47" i="5"/>
  <c r="H85" i="5"/>
  <c r="I21" i="5"/>
  <c r="I44" i="5"/>
  <c r="I42" i="5"/>
  <c r="I43" i="5"/>
  <c r="G85" i="5"/>
  <c r="I33" i="5"/>
  <c r="F85" i="5"/>
  <c r="I13" i="5"/>
  <c r="E110" i="2"/>
  <c r="E136" i="2"/>
  <c r="E56" i="2"/>
  <c r="E148" i="2"/>
  <c r="E81" i="2"/>
  <c r="E16" i="2"/>
  <c r="E174" i="2"/>
  <c r="E142" i="2"/>
  <c r="E221" i="2"/>
  <c r="E48" i="2"/>
  <c r="E27" i="2"/>
  <c r="E198" i="2"/>
  <c r="E251" i="2"/>
  <c r="E260" i="2"/>
  <c r="E52" i="2"/>
  <c r="E107" i="2"/>
  <c r="E213" i="2"/>
  <c r="E132" i="2"/>
  <c r="E126" i="2"/>
  <c r="E140" i="2"/>
  <c r="E78" i="2"/>
  <c r="E86" i="2"/>
  <c r="E166" i="2"/>
  <c r="E144" i="2"/>
  <c r="E153" i="2"/>
  <c r="E41" i="2"/>
  <c r="E69" i="2"/>
  <c r="E114" i="2"/>
  <c r="E51" i="2"/>
  <c r="E60" i="2"/>
  <c r="E31" i="2"/>
  <c r="E195" i="2"/>
  <c r="E185" i="2"/>
  <c r="E190" i="2"/>
  <c r="E77" i="2"/>
  <c r="E193" i="2"/>
  <c r="E200" i="2"/>
  <c r="E237" i="2"/>
  <c r="E85" i="2"/>
  <c r="E122" i="2"/>
  <c r="E21" i="2"/>
  <c r="E47" i="2"/>
  <c r="E130" i="2"/>
  <c r="E243" i="2"/>
  <c r="E101" i="2"/>
  <c r="E17" i="2"/>
  <c r="E98" i="2"/>
  <c r="E112" i="2"/>
  <c r="E72" i="2"/>
  <c r="E91" i="2"/>
  <c r="E135" i="2"/>
  <c r="E229" i="2"/>
  <c r="E19" i="2"/>
  <c r="E46" i="2"/>
  <c r="E230" i="2"/>
  <c r="E205" i="2"/>
  <c r="E252" i="2"/>
  <c r="E206" i="2"/>
  <c r="E172" i="2"/>
  <c r="E224" i="2"/>
  <c r="E11" i="2"/>
  <c r="E66" i="2"/>
  <c r="E220" i="2"/>
  <c r="E96" i="2"/>
  <c r="E147" i="2"/>
  <c r="E137" i="2"/>
  <c r="E64" i="2"/>
  <c r="E121" i="2"/>
  <c r="E32" i="2"/>
  <c r="E168" i="2"/>
  <c r="E124" i="2"/>
  <c r="E201" i="2"/>
  <c r="E82" i="2"/>
  <c r="E70" i="2"/>
  <c r="E102" i="2"/>
  <c r="E87" i="2"/>
  <c r="E108" i="2"/>
  <c r="E79" i="2"/>
  <c r="E120" i="2"/>
  <c r="E196" i="2"/>
  <c r="E149" i="2"/>
  <c r="E238" i="2"/>
  <c r="E138" i="2"/>
  <c r="E92" i="2"/>
  <c r="E171" i="2"/>
  <c r="D266" i="2"/>
  <c r="E253" i="2"/>
  <c r="E207" i="2"/>
  <c r="E191" i="2"/>
  <c r="E127" i="2"/>
  <c r="E214" i="2"/>
  <c r="E186" i="2"/>
  <c r="E261" i="2"/>
  <c r="E175" i="2"/>
  <c r="E154" i="2"/>
  <c r="E211" i="2"/>
  <c r="E258" i="2"/>
  <c r="E223" i="2"/>
  <c r="I85" i="5"/>
  <c r="E197" i="2"/>
  <c r="E76" i="2"/>
  <c r="E95" i="2"/>
  <c r="E165" i="2"/>
  <c r="E204" i="2"/>
  <c r="E182" i="2"/>
  <c r="E194" i="2"/>
  <c r="E18" i="2"/>
  <c r="E152" i="2"/>
  <c r="E170" i="2"/>
  <c r="E210" i="2"/>
  <c r="E20" i="2"/>
  <c r="E97" i="2"/>
  <c r="E189" i="2"/>
  <c r="E68" i="2"/>
  <c r="E125" i="2"/>
  <c r="E146" i="2"/>
  <c r="E219" i="2"/>
  <c r="E55" i="2"/>
  <c r="E40" i="2"/>
  <c r="E90" i="2"/>
  <c r="E222" i="2"/>
  <c r="E199" i="2"/>
  <c r="E212" i="2"/>
  <c r="E34" i="2"/>
  <c r="E141" i="2"/>
  <c r="E26" i="2"/>
  <c r="E236" i="2"/>
  <c r="E59" i="2"/>
  <c r="E192" i="2"/>
  <c r="E106" i="2"/>
  <c r="E242" i="2"/>
  <c r="E100" i="2"/>
  <c r="E133" i="2"/>
  <c r="E139" i="2"/>
  <c r="E50" i="2"/>
  <c r="E259" i="2"/>
  <c r="E30" i="2"/>
  <c r="E113" i="2"/>
  <c r="E80" i="2"/>
  <c r="E84" i="2"/>
  <c r="E129" i="2"/>
  <c r="E15" i="2"/>
  <c r="E249" i="2"/>
  <c r="E255" i="2"/>
  <c r="E228" i="2"/>
  <c r="E131" i="2"/>
  <c r="E173" i="2"/>
  <c r="E109" i="2"/>
  <c r="E45" i="2"/>
  <c r="E143" i="2"/>
  <c r="E62" i="2"/>
  <c r="E65" i="2"/>
  <c r="E71" i="2"/>
  <c r="E264" i="2"/>
  <c r="E265" i="2"/>
  <c r="E266" i="2"/>
</calcChain>
</file>

<file path=xl/sharedStrings.xml><?xml version="1.0" encoding="utf-8"?>
<sst xmlns="http://schemas.openxmlformats.org/spreadsheetml/2006/main" count="3913" uniqueCount="1183">
  <si>
    <t>YURDUN ADI</t>
  </si>
  <si>
    <t>KIZ</t>
  </si>
  <si>
    <t>ERKEK</t>
  </si>
  <si>
    <t>TOPLAM</t>
  </si>
  <si>
    <t>ADANA</t>
  </si>
  <si>
    <t>İL ADI</t>
  </si>
  <si>
    <t>İLÇE ADI</t>
  </si>
  <si>
    <t>MERKEZ</t>
  </si>
  <si>
    <t>CEYHAN</t>
  </si>
  <si>
    <t>HATAY</t>
  </si>
  <si>
    <t>İSKENDERUN</t>
  </si>
  <si>
    <t>MERSİN</t>
  </si>
  <si>
    <t>ERDEMLİ</t>
  </si>
  <si>
    <t>TARSUS</t>
  </si>
  <si>
    <t>NİĞDE</t>
  </si>
  <si>
    <t>BOR</t>
  </si>
  <si>
    <t>OSMANİYE</t>
  </si>
  <si>
    <t>ANKARA</t>
  </si>
  <si>
    <t>ÇUBUK</t>
  </si>
  <si>
    <t>KALECİK</t>
  </si>
  <si>
    <t>POLATLI</t>
  </si>
  <si>
    <t>ÇANKIRI</t>
  </si>
  <si>
    <t>KASTAMONU</t>
  </si>
  <si>
    <t>KIRIKKALE</t>
  </si>
  <si>
    <t>KESKİN</t>
  </si>
  <si>
    <t>ANTALYA</t>
  </si>
  <si>
    <t>ALANYA</t>
  </si>
  <si>
    <t>MANAVGAT</t>
  </si>
  <si>
    <t>BURDUR</t>
  </si>
  <si>
    <t>BUCAK</t>
  </si>
  <si>
    <t>ISPARTA</t>
  </si>
  <si>
    <t>ATABEY</t>
  </si>
  <si>
    <t>EĞİRDİR</t>
  </si>
  <si>
    <t>SÜTÇÜLER</t>
  </si>
  <si>
    <t>YALVAÇ</t>
  </si>
  <si>
    <t>BOLU</t>
  </si>
  <si>
    <t>GEREDE</t>
  </si>
  <si>
    <t>MUDURNU</t>
  </si>
  <si>
    <t>DÜZCE</t>
  </si>
  <si>
    <t>AKÇAKOCA</t>
  </si>
  <si>
    <t>KAYNAŞLI</t>
  </si>
  <si>
    <t>KOCAELİ</t>
  </si>
  <si>
    <t>GEBZE</t>
  </si>
  <si>
    <t>KANDIRA</t>
  </si>
  <si>
    <t>KARAMÜRSEL</t>
  </si>
  <si>
    <t>SAKARYA</t>
  </si>
  <si>
    <t>HENDEK</t>
  </si>
  <si>
    <t>BURSA</t>
  </si>
  <si>
    <t>BALIKESİR</t>
  </si>
  <si>
    <t>BANDIRMA</t>
  </si>
  <si>
    <t>DURSUNBEY</t>
  </si>
  <si>
    <t>HAVRAN</t>
  </si>
  <si>
    <t>ÇANAKKALE</t>
  </si>
  <si>
    <t>BİGA</t>
  </si>
  <si>
    <t>GELİBOLU</t>
  </si>
  <si>
    <t>YALOVA</t>
  </si>
  <si>
    <t>DENİZLİ</t>
  </si>
  <si>
    <t>BEKİLLİ</t>
  </si>
  <si>
    <t>BULDAN</t>
  </si>
  <si>
    <t>HONAZ</t>
  </si>
  <si>
    <t>TAVAS</t>
  </si>
  <si>
    <t>AYDIN</t>
  </si>
  <si>
    <t>SULTANHİSAR</t>
  </si>
  <si>
    <t>KOÇARLI</t>
  </si>
  <si>
    <t>KUŞADASI</t>
  </si>
  <si>
    <t>NAZİLLİ</t>
  </si>
  <si>
    <t>YENİPAZAR</t>
  </si>
  <si>
    <t>MUĞLA</t>
  </si>
  <si>
    <t>ORTACA</t>
  </si>
  <si>
    <t>FETHİYE</t>
  </si>
  <si>
    <t>UŞAK</t>
  </si>
  <si>
    <t>DİYARBAKIR</t>
  </si>
  <si>
    <t>BATMAN</t>
  </si>
  <si>
    <t>BİNGÖL</t>
  </si>
  <si>
    <t>MARDİN</t>
  </si>
  <si>
    <t>SİİRT</t>
  </si>
  <si>
    <t>EDİRNE</t>
  </si>
  <si>
    <t>HAVSA</t>
  </si>
  <si>
    <t>KEŞAN</t>
  </si>
  <si>
    <t>UZUNKÖPRÜ</t>
  </si>
  <si>
    <t>KIRKLARELİ</t>
  </si>
  <si>
    <t>LÜLEBURGAZ</t>
  </si>
  <si>
    <t>TEKİRDAĞ</t>
  </si>
  <si>
    <t>ÇORLU</t>
  </si>
  <si>
    <t>HAYRABOLU</t>
  </si>
  <si>
    <t>MALKARA</t>
  </si>
  <si>
    <t>ŞARKÖY</t>
  </si>
  <si>
    <t>ERZURUM</t>
  </si>
  <si>
    <t>AŞKALE</t>
  </si>
  <si>
    <t>OLTU</t>
  </si>
  <si>
    <t>PASİNLER</t>
  </si>
  <si>
    <t>İSPİR</t>
  </si>
  <si>
    <t>AĞRI</t>
  </si>
  <si>
    <t>ARDAHAN</t>
  </si>
  <si>
    <t>BAYBURT</t>
  </si>
  <si>
    <t>ERZİNCAN</t>
  </si>
  <si>
    <t>KEMAH</t>
  </si>
  <si>
    <t>KEMALİYE</t>
  </si>
  <si>
    <t>REFAHİYE</t>
  </si>
  <si>
    <t>TERCAN</t>
  </si>
  <si>
    <t>IĞDIR</t>
  </si>
  <si>
    <t>KARS</t>
  </si>
  <si>
    <t>ESKİŞEHİR</t>
  </si>
  <si>
    <t>SİVRİHİSAR</t>
  </si>
  <si>
    <t>BAYAT</t>
  </si>
  <si>
    <t>DİNAR</t>
  </si>
  <si>
    <t>EMİRDAĞ</t>
  </si>
  <si>
    <t>BİLECİK</t>
  </si>
  <si>
    <t>PAZARYERİ</t>
  </si>
  <si>
    <t>KÜTAHYA</t>
  </si>
  <si>
    <t>GEDİZ</t>
  </si>
  <si>
    <t>SİMAV</t>
  </si>
  <si>
    <t>GAZİANTEP</t>
  </si>
  <si>
    <t>NİZİP</t>
  </si>
  <si>
    <t>AFŞİN</t>
  </si>
  <si>
    <t>ELBİSTAN</t>
  </si>
  <si>
    <t>GÖKSUN</t>
  </si>
  <si>
    <t>KİLİS</t>
  </si>
  <si>
    <t>ŞANLIURFA</t>
  </si>
  <si>
    <t>İSTANBUL</t>
  </si>
  <si>
    <t>İZMİR</t>
  </si>
  <si>
    <t>ÇEŞME</t>
  </si>
  <si>
    <t>MANİSA</t>
  </si>
  <si>
    <t>AKHİSAR</t>
  </si>
  <si>
    <t>ALAŞEHİR</t>
  </si>
  <si>
    <t>DEMİRCİ</t>
  </si>
  <si>
    <t>GÖRDES</t>
  </si>
  <si>
    <t>KIRKAĞAÇ</t>
  </si>
  <si>
    <t>KÖPRÜBAŞI</t>
  </si>
  <si>
    <t>SALİHLİ</t>
  </si>
  <si>
    <t>TURGUTLU</t>
  </si>
  <si>
    <t>KAYSERİ</t>
  </si>
  <si>
    <t>DEVELİ</t>
  </si>
  <si>
    <t>KIRŞEHİR</t>
  </si>
  <si>
    <t>KAMAN</t>
  </si>
  <si>
    <t>MUCUR</t>
  </si>
  <si>
    <t>NEVŞEHİR</t>
  </si>
  <si>
    <t>AVANOS</t>
  </si>
  <si>
    <t>ÜRGÜP</t>
  </si>
  <si>
    <t>SİVAS</t>
  </si>
  <si>
    <t>GÜRÜN</t>
  </si>
  <si>
    <t>SUŞEHRİ</t>
  </si>
  <si>
    <t>YILDIZELİ</t>
  </si>
  <si>
    <t>ZARA</t>
  </si>
  <si>
    <t>YOZGAT</t>
  </si>
  <si>
    <t>AKDAĞMADENİ</t>
  </si>
  <si>
    <t>KONYA</t>
  </si>
  <si>
    <t>AKŞEHİR</t>
  </si>
  <si>
    <t>BEYŞEHİR</t>
  </si>
  <si>
    <t>BOZKIR</t>
  </si>
  <si>
    <t>ÇUMRA</t>
  </si>
  <si>
    <t>EREĞLİ</t>
  </si>
  <si>
    <t>KADINHANI</t>
  </si>
  <si>
    <t>SEYDİŞEHİR</t>
  </si>
  <si>
    <t>AKSARAY</t>
  </si>
  <si>
    <t>ORTAKÖY</t>
  </si>
  <si>
    <t>KARAMAN</t>
  </si>
  <si>
    <t>ERMENEK</t>
  </si>
  <si>
    <t>MALATYA</t>
  </si>
  <si>
    <t>ARAPGİR</t>
  </si>
  <si>
    <t>ADIYAMAN</t>
  </si>
  <si>
    <t>BESNİ</t>
  </si>
  <si>
    <t>KAHTA</t>
  </si>
  <si>
    <t>ELAZIĞ</t>
  </si>
  <si>
    <t>TUNCELİ</t>
  </si>
  <si>
    <t>SAMSUN</t>
  </si>
  <si>
    <t>BAFRA</t>
  </si>
  <si>
    <t>ÇARŞAMBA</t>
  </si>
  <si>
    <t>TERME</t>
  </si>
  <si>
    <t>AMASYA</t>
  </si>
  <si>
    <t>MERZİFON</t>
  </si>
  <si>
    <t>ÇORUM</t>
  </si>
  <si>
    <t>SİNOP</t>
  </si>
  <si>
    <t>AYANCIK</t>
  </si>
  <si>
    <t>TOKAT</t>
  </si>
  <si>
    <t>ERBAA</t>
  </si>
  <si>
    <t>NİKSAR</t>
  </si>
  <si>
    <t>TURHAL</t>
  </si>
  <si>
    <t>ZİLE</t>
  </si>
  <si>
    <t>TRABZON</t>
  </si>
  <si>
    <t>AKÇAABAT</t>
  </si>
  <si>
    <t>BEŞİKDÜZÜ</t>
  </si>
  <si>
    <t>MAÇKA</t>
  </si>
  <si>
    <t>OF</t>
  </si>
  <si>
    <t>SÜRMENE</t>
  </si>
  <si>
    <t>ARTVİN</t>
  </si>
  <si>
    <t>GİRESUN</t>
  </si>
  <si>
    <t>EYNESİL</t>
  </si>
  <si>
    <t>TİREBOLU</t>
  </si>
  <si>
    <t>GÜMÜŞHANE</t>
  </si>
  <si>
    <t>TORUL</t>
  </si>
  <si>
    <t>ORDU</t>
  </si>
  <si>
    <t>FATSA</t>
  </si>
  <si>
    <t>MESUDİYE</t>
  </si>
  <si>
    <t>ÜNYE</t>
  </si>
  <si>
    <t>RİZE</t>
  </si>
  <si>
    <t>DEREPAZARI</t>
  </si>
  <si>
    <t>ÇAYELİ</t>
  </si>
  <si>
    <t>FINDIKLI</t>
  </si>
  <si>
    <t>PAZAR</t>
  </si>
  <si>
    <t>VAN</t>
  </si>
  <si>
    <t>ERCİŞ</t>
  </si>
  <si>
    <t>GEVAŞ</t>
  </si>
  <si>
    <t>ÖZALP</t>
  </si>
  <si>
    <t>BİTLİS</t>
  </si>
  <si>
    <t>ADİLCEVAZ</t>
  </si>
  <si>
    <t>AHLAT</t>
  </si>
  <si>
    <t>TATVAN</t>
  </si>
  <si>
    <t>HAKKARİ</t>
  </si>
  <si>
    <t>MUŞ</t>
  </si>
  <si>
    <t>MALAZGİRT</t>
  </si>
  <si>
    <t>ŞIRNAK</t>
  </si>
  <si>
    <t>ZONGULDAK</t>
  </si>
  <si>
    <t>ÇAYCUMA</t>
  </si>
  <si>
    <t>DEVREK</t>
  </si>
  <si>
    <t>ALAPLI</t>
  </si>
  <si>
    <t>BARTIN</t>
  </si>
  <si>
    <t>KARABÜK</t>
  </si>
  <si>
    <t>ESKİPAZAR</t>
  </si>
  <si>
    <t>PAMUKKALE YURDU</t>
  </si>
  <si>
    <t>İLKADIM YURDU</t>
  </si>
  <si>
    <t>PAZAR ÖĞRENCİ YURDU</t>
  </si>
  <si>
    <t>FATSA ÖĞRENCİ YURDU</t>
  </si>
  <si>
    <t>ADANA ÖĞRENCİ YURDU</t>
  </si>
  <si>
    <t>SÜMER YURDU</t>
  </si>
  <si>
    <t>ANTAKYA YURDU</t>
  </si>
  <si>
    <t>BOR YURDU</t>
  </si>
  <si>
    <t>CEYHAN YURDU</t>
  </si>
  <si>
    <t>ERDEMLİ ÖĞRENCİ YURDU</t>
  </si>
  <si>
    <t>HATAY ÖĞRENCİ YURDU</t>
  </si>
  <si>
    <t>İÇEL ÖĞRENCİ YURDU</t>
  </si>
  <si>
    <t>İSKENDERUN YURDU</t>
  </si>
  <si>
    <t>MERSİN KIZ ÖĞRENCİ YURDU</t>
  </si>
  <si>
    <t>NİĞDE MİLLİ PİYANGO YURDU</t>
  </si>
  <si>
    <t>TARSUS YURDU</t>
  </si>
  <si>
    <t>BAĞLICA ÖĞRENCİ YURDU</t>
  </si>
  <si>
    <t>BAŞKENT YURDU</t>
  </si>
  <si>
    <t>BEŞTEPE YURDU</t>
  </si>
  <si>
    <t>CEBECİ ERKEK YURDU</t>
  </si>
  <si>
    <t>CEBECİ KIZ YURDU</t>
  </si>
  <si>
    <t>DİKİMEVİ YURDU</t>
  </si>
  <si>
    <t>EYMİR ERKEK ÖĞRENCİ YURDU</t>
  </si>
  <si>
    <t>GAZİ YURDU</t>
  </si>
  <si>
    <t>GÖLBAŞI KIZ ÖĞRENCİ YURDU</t>
  </si>
  <si>
    <t>GÜVENLİK YURDU</t>
  </si>
  <si>
    <t>HALİDE EDİP ADIVAR YURDU</t>
  </si>
  <si>
    <t>KOCATEPE YURDU</t>
  </si>
  <si>
    <t>NENEHATUN YURDU</t>
  </si>
  <si>
    <t>SEYRAN YURDU</t>
  </si>
  <si>
    <t>ŞERİFE BACI YURDU</t>
  </si>
  <si>
    <t>TAHSİN BANGUOĞLU YURDU</t>
  </si>
  <si>
    <t>YENİŞEHİR YURDU</t>
  </si>
  <si>
    <t>ÇANKIRI YURDU</t>
  </si>
  <si>
    <t>KALECİK YURDU</t>
  </si>
  <si>
    <t>KASTAMONU YURDU</t>
  </si>
  <si>
    <t>KESKİN YURDU</t>
  </si>
  <si>
    <t>KIRIKKALE YURDU</t>
  </si>
  <si>
    <t>POLATLI YURDU</t>
  </si>
  <si>
    <t>ŞEREFLİKOÇHİSAR YURDU</t>
  </si>
  <si>
    <t>AKDENİZ YURDU</t>
  </si>
  <si>
    <t>ALANYA ÖĞRENCİ YURDU</t>
  </si>
  <si>
    <t>ATABEY YURDU</t>
  </si>
  <si>
    <t>BUCAK ÖĞRENCİ YURDU</t>
  </si>
  <si>
    <t>BURDUR YURDU</t>
  </si>
  <si>
    <t>EĞİRDİR YURDU</t>
  </si>
  <si>
    <t>MANAVGAT ÖĞRENCİ YURDU</t>
  </si>
  <si>
    <t>SÜTÇÜLER ÖĞRENCİ YURDU</t>
  </si>
  <si>
    <t>YALVAÇ YURDU</t>
  </si>
  <si>
    <t>AKÇAKOCA YURDU</t>
  </si>
  <si>
    <t>GEBZE ÖĞRENCİ YURDU</t>
  </si>
  <si>
    <t>HENDEK YURDU</t>
  </si>
  <si>
    <t>KANDIRA-İL ÖZEL İDARESİ YURDU</t>
  </si>
  <si>
    <t>KAYNAŞLI ÖĞRENCİ YURDU</t>
  </si>
  <si>
    <t>SAKARYA ATATÜRK KIZ YURDU</t>
  </si>
  <si>
    <t>SAKARYA YURDU</t>
  </si>
  <si>
    <t>ORHANGAZİ YURDU</t>
  </si>
  <si>
    <t>ULUDAĞ YURDU</t>
  </si>
  <si>
    <t>BALIKESİR YURDU</t>
  </si>
  <si>
    <t>ÇANAKKALE KIZ ÖĞRENCİ YURDU</t>
  </si>
  <si>
    <t>ÇANAKKALE YURDU</t>
  </si>
  <si>
    <t>DURSUNBEY ÖĞRENCİ YURDU</t>
  </si>
  <si>
    <t>GELİBOLU YURDU</t>
  </si>
  <si>
    <t>GEMLİK ÖĞRENCİ YURDU</t>
  </si>
  <si>
    <t>HAVRAN YURDU</t>
  </si>
  <si>
    <t>TERMAL ÖĞRENCİ YURDU</t>
  </si>
  <si>
    <t>YALOVA YURDU</t>
  </si>
  <si>
    <t>DENİZLİ ÖĞRENCİ YURDU</t>
  </si>
  <si>
    <t>AYDIN YURDU</t>
  </si>
  <si>
    <t>BEKİLLİ YURDU</t>
  </si>
  <si>
    <t>BULDAN ÖĞRENCİ YURDU</t>
  </si>
  <si>
    <t>HONAZ ÖĞRENCİ YURDU</t>
  </si>
  <si>
    <t>KOÇARLI YURDU</t>
  </si>
  <si>
    <t>KUŞADASI YURDU</t>
  </si>
  <si>
    <t>MUĞLA ERKEK YURDU</t>
  </si>
  <si>
    <t>MUĞLA MİLLİ PİYANGO KIZ YURDU</t>
  </si>
  <si>
    <t>NAZİLLİ YURDU</t>
  </si>
  <si>
    <t>SULTANHİSAR ÖĞRENCİ YURDU</t>
  </si>
  <si>
    <t>TAVAS ÖĞRENCİ YURDU</t>
  </si>
  <si>
    <t>UŞAK ERKEK ÖĞRENCİ YURDU</t>
  </si>
  <si>
    <t>UŞAK KIZ YURDU</t>
  </si>
  <si>
    <t>YENİPAZAR YURDU</t>
  </si>
  <si>
    <t>ZİYA GÖKALP YURDU</t>
  </si>
  <si>
    <t>BİNGÖL ERKEK ÖĞRENCİ YURDU</t>
  </si>
  <si>
    <t>BİNGÖL KIZ ÖĞRENCİ YURDU</t>
  </si>
  <si>
    <t>SİİRT ERKEK ÖĞRENCİ YURDU</t>
  </si>
  <si>
    <t>SİİRT KIZ ÖĞRENCİ YURDU</t>
  </si>
  <si>
    <t>EDİRNE KIZ ÖĞRENCİ YURDU</t>
  </si>
  <si>
    <t>SELİMİYE YURDU</t>
  </si>
  <si>
    <t>ÇERKEZKÖY YURDU</t>
  </si>
  <si>
    <t>ÇORLU YURDU</t>
  </si>
  <si>
    <t>HAYRABOLU YURDU</t>
  </si>
  <si>
    <t>KEŞAN YURDU</t>
  </si>
  <si>
    <t>KIRKLARELİ YURDU</t>
  </si>
  <si>
    <t>MALKARA YURDU</t>
  </si>
  <si>
    <t>ŞARKÖY YURDU</t>
  </si>
  <si>
    <t>TEKİRDAĞ YURDU</t>
  </si>
  <si>
    <t>UZUNKÖPRU ÖĞRENCİ YURDU</t>
  </si>
  <si>
    <t>PALANDÖKEN ERKEK YURDU</t>
  </si>
  <si>
    <t>ARDAHAN YURDU</t>
  </si>
  <si>
    <t>AŞKALE YURDU</t>
  </si>
  <si>
    <t>BAYBURT YURDU</t>
  </si>
  <si>
    <t>KARS YURDU</t>
  </si>
  <si>
    <t>KEMAH YURDU</t>
  </si>
  <si>
    <t>KEMALİYE-OSMAN NURİ AKIN YURDU</t>
  </si>
  <si>
    <t>OLTU YURDU</t>
  </si>
  <si>
    <t>PASİNLER YURDU</t>
  </si>
  <si>
    <t>TERCAN - M.REFİK ŞİMŞEK YURDU</t>
  </si>
  <si>
    <t>CUMHURİYET ÖĞRENCİ YURDU</t>
  </si>
  <si>
    <t>DUMLUPINAR YURDU</t>
  </si>
  <si>
    <t>ESKİŞEHİR YURDU</t>
  </si>
  <si>
    <t>AFYON YURDU</t>
  </si>
  <si>
    <t>BAYAT ÖĞRENCİ YURDU</t>
  </si>
  <si>
    <t>BİLECİK YURDU</t>
  </si>
  <si>
    <t>DİNAR ÖĞRENCİ YURDU</t>
  </si>
  <si>
    <t>EMİRDAĞ KIZ ÖĞRENCİ YURDU</t>
  </si>
  <si>
    <t>EMİRDAĞ YURDU</t>
  </si>
  <si>
    <t>GEDİZ YURDU</t>
  </si>
  <si>
    <t>PAZARYERİ ÖĞRENCİ YURDU</t>
  </si>
  <si>
    <t>SİMAV ÖĞRENCİ YURDU</t>
  </si>
  <si>
    <t>SİVRİHİSAR ÖĞRENCİ YURDU</t>
  </si>
  <si>
    <t>GAZİKENT ÖĞRENCİ YURDU</t>
  </si>
  <si>
    <t>AFŞİN KIZ YURDU</t>
  </si>
  <si>
    <t>ELBİSTAN YURDU</t>
  </si>
  <si>
    <t>GÖKSUN YURDU</t>
  </si>
  <si>
    <t>KAHRAMANMARAŞ YURDU</t>
  </si>
  <si>
    <t>KİLİS KIZ ÖĞRENCİ YURDU</t>
  </si>
  <si>
    <t>KİLİS YURDU</t>
  </si>
  <si>
    <t>NİZİP YURDU</t>
  </si>
  <si>
    <t>ŞANLIURFA YURDU</t>
  </si>
  <si>
    <t>ABDİ İPEKÇİ YURDU</t>
  </si>
  <si>
    <t>AKKADIN H. M. TARMAN KIZ YURDU</t>
  </si>
  <si>
    <t>ANADOLU HİSARI YURDU</t>
  </si>
  <si>
    <t>ATAŞEHİR KIZ ÖĞRENCİ YURDU</t>
  </si>
  <si>
    <t>AVCILAR-ATATURK KIZ YURDU</t>
  </si>
  <si>
    <t>ÇEMBERLİTAŞ YURDU</t>
  </si>
  <si>
    <t>EDİRNEKAPI KIZ ÖĞRENCİ YURDU</t>
  </si>
  <si>
    <t>ESENYURT ERKEK ÖĞRENCİ YURDU</t>
  </si>
  <si>
    <t>FATİH YURDU</t>
  </si>
  <si>
    <t>FLORYA-BEŞYOL ÖĞRENCİ YURDU</t>
  </si>
  <si>
    <t>KADIRGA ERKEK ÖĞRENCİ YURDU</t>
  </si>
  <si>
    <t>ŞİŞLİ ERKEK ÖĞRENCİ YURDU</t>
  </si>
  <si>
    <t>VEZNECİLER YURDU</t>
  </si>
  <si>
    <t>BUCA KIZ YURDU</t>
  </si>
  <si>
    <t>ÇİĞLİ ÖĞRENCİ YURDU</t>
  </si>
  <si>
    <t>EGE ÖĞRENCİ YURDU</t>
  </si>
  <si>
    <t>HACI AHMET TATARİ YURDU</t>
  </si>
  <si>
    <t>HOCA AHMET YESEVİ YURDU(İZMİR)</t>
  </si>
  <si>
    <t>AKHİSAR YURDU</t>
  </si>
  <si>
    <t>ALAŞEHİR YURDU</t>
  </si>
  <si>
    <t>ÇEŞME YURDU</t>
  </si>
  <si>
    <t>DEMİRCİ YURDU</t>
  </si>
  <si>
    <t>GÖRDES ÖĞRENCİ YURDU</t>
  </si>
  <si>
    <t>KIRKAĞAÇ ÖĞRENCİ YURDU</t>
  </si>
  <si>
    <t>KÖPRUBAŞI ÖĞRENCİ YURDU</t>
  </si>
  <si>
    <t>MANİSA YURDU</t>
  </si>
  <si>
    <t>MANİSA-MURADİYE ÖĞRENCİ YURDU</t>
  </si>
  <si>
    <t>SALİHLİ ÖĞRENCİ YURDU</t>
  </si>
  <si>
    <t>TURGUTLU -SEDAT ÖZCAN YURDU</t>
  </si>
  <si>
    <t>URLA YURDU</t>
  </si>
  <si>
    <t>ERCİYES YURDU</t>
  </si>
  <si>
    <t>GEVHER NESİBE YURDU</t>
  </si>
  <si>
    <t>MELİKGAZİ KIZ ÖĞRENCİ YURDU</t>
  </si>
  <si>
    <t>AKDAĞMADENİ YURDU</t>
  </si>
  <si>
    <t>AVANOS ÖĞRENCİ YURDU</t>
  </si>
  <si>
    <t>DEVELİ YURDU</t>
  </si>
  <si>
    <t>KAMAN YURDU</t>
  </si>
  <si>
    <t>KIRŞEHİR YURDU</t>
  </si>
  <si>
    <t>MUCUR YURDU</t>
  </si>
  <si>
    <t>NEVŞEHİR YURDU</t>
  </si>
  <si>
    <t>SİVAS SALTUKBEY ÖĞRENCİ YURDU</t>
  </si>
  <si>
    <t>SİVAS 4 EYLUL KIZ YURDU</t>
  </si>
  <si>
    <t>SUŞEHRİ YURDU</t>
  </si>
  <si>
    <t>URGUP ÖĞRENCİ YURDU</t>
  </si>
  <si>
    <t>YILDIZELİ YURDU</t>
  </si>
  <si>
    <t>YOZGAT YURDU</t>
  </si>
  <si>
    <t>YOZGAT-ESENTEPE ÖĞR.YURDU</t>
  </si>
  <si>
    <t>ALAADDİN YURDU</t>
  </si>
  <si>
    <t>KONYA KIZ YURDU</t>
  </si>
  <si>
    <t>KONYA-KİMYA HATUN KIZ YURDU</t>
  </si>
  <si>
    <t>MERAM YURDU</t>
  </si>
  <si>
    <t>MEVLANA KIZ YURDU</t>
  </si>
  <si>
    <t>AKSARAY ERKEK YURDU</t>
  </si>
  <si>
    <t>AKSARAY KIZ YURDU</t>
  </si>
  <si>
    <t>AKŞEHİR YURDU</t>
  </si>
  <si>
    <t>BEYŞEHİR YURDU</t>
  </si>
  <si>
    <t>ÇUMRA YURDU</t>
  </si>
  <si>
    <t>EREĞLİ ERKEK YURDU</t>
  </si>
  <si>
    <t>EREĞLİ KIZ YURDU</t>
  </si>
  <si>
    <t>ERMENEK ÖĞRENCİ YURDU</t>
  </si>
  <si>
    <t>KARAMAN YURDU</t>
  </si>
  <si>
    <t>ORTAKÖY YURDU</t>
  </si>
  <si>
    <t>SEYDİŞEHİR YURDU</t>
  </si>
  <si>
    <t>BATTAL GAZİ YURDU</t>
  </si>
  <si>
    <t>MALATYA KIZ YURDU</t>
  </si>
  <si>
    <t>ADIYAMAN YURDU</t>
  </si>
  <si>
    <t>ARAPGİR YURDU</t>
  </si>
  <si>
    <t>BESNİ- SERVİ M.ERDEMOĞLU YURDU</t>
  </si>
  <si>
    <t>ELAZIĞ-FIRAT ERKEK YURDU</t>
  </si>
  <si>
    <t>HARPUT ÖĞRENCİ YURDU</t>
  </si>
  <si>
    <t>KAHTA YURDU</t>
  </si>
  <si>
    <t>TUNCELİ YURDU</t>
  </si>
  <si>
    <t>KARADENİZ YURDU</t>
  </si>
  <si>
    <t>SAMSUN KIZ ÖĞRENCİ YURDU</t>
  </si>
  <si>
    <t>TURGUT ÖZAL ÖĞRENCİ YURDU</t>
  </si>
  <si>
    <t>AMASYA YURDU</t>
  </si>
  <si>
    <t>AMASYA-YEŞİLIRMAK YURDU</t>
  </si>
  <si>
    <t>AYANCIK ÖĞRENCİ YURDU</t>
  </si>
  <si>
    <t>BAFRA MİLLİ PİYANGO YURDU</t>
  </si>
  <si>
    <t>ÇARŞAMBA ÖĞRENCİ YURDU</t>
  </si>
  <si>
    <t>ERBAA YURDU</t>
  </si>
  <si>
    <t>HİTİT ÖĞRENCİ YURDU</t>
  </si>
  <si>
    <t>MERZİFON YURDU</t>
  </si>
  <si>
    <t>NİKSAR YURDU</t>
  </si>
  <si>
    <t>SİNOP YURDU</t>
  </si>
  <si>
    <t>TERME YURDU</t>
  </si>
  <si>
    <t>TOKAT İBN-İ KEMAL ÖĞRENCİ YURDU</t>
  </si>
  <si>
    <t>TOKAT ÖĞRENCİ YURDU</t>
  </si>
  <si>
    <t>TOKAT-GAZİOSMANPAŞA YURDU</t>
  </si>
  <si>
    <t>TURHAL YURDU</t>
  </si>
  <si>
    <t>ZİLE YURDU</t>
  </si>
  <si>
    <t>TRABZON-DOĞU KARADENİZ YURDU</t>
  </si>
  <si>
    <t>YOMRA-KANUNİ YURDU</t>
  </si>
  <si>
    <t>AKÇAABAT-FATİH YURDU</t>
  </si>
  <si>
    <t>ALUCRA YURDU</t>
  </si>
  <si>
    <t>ARTVİN YURDU</t>
  </si>
  <si>
    <t>ÇAYELİ - A.MESUT YILMAZ YURDU</t>
  </si>
  <si>
    <t>ÇORUH ÖĞRENCİ YURDU</t>
  </si>
  <si>
    <t>DEREPAZARI KAPTAN ARİF BAYRAKTAR</t>
  </si>
  <si>
    <t>EYNESİL ÖĞRENCİ YURDU</t>
  </si>
  <si>
    <t>FINDIKLI YURDU</t>
  </si>
  <si>
    <t>GİRESUN SAHİL ÖĞRENCİ YURDU</t>
  </si>
  <si>
    <t>GİRESUN YURDU</t>
  </si>
  <si>
    <t>GUMUŞHANE YURDU</t>
  </si>
  <si>
    <t>MAÇKA-ŞUKRU KARADENİZ ÖĞR.YURD</t>
  </si>
  <si>
    <t>MESUDİYE YURDU</t>
  </si>
  <si>
    <t>ORDU YURDU</t>
  </si>
  <si>
    <t>RİZE YEŞİLÇAY YURDU</t>
  </si>
  <si>
    <t>RİZE YURDU</t>
  </si>
  <si>
    <t>ŞEBİNKARAHİSAR YURDU</t>
  </si>
  <si>
    <t>TİREBOLU ÖĞRENCİ YURDU</t>
  </si>
  <si>
    <t>TORUL ÖĞRENCİ YURDU</t>
  </si>
  <si>
    <t>MELİKŞAH YURDU</t>
  </si>
  <si>
    <t>VAN ÖĞRENCİ YURDU</t>
  </si>
  <si>
    <t>ADİLCEVAZ ÖĞRENCİ YURDU</t>
  </si>
  <si>
    <t>AHLAT YURDU</t>
  </si>
  <si>
    <t>BİTLİS ERKEK ÖĞRENCİ YURDU</t>
  </si>
  <si>
    <t>BİTLİS KIZ ÖĞRENCİ YURDU</t>
  </si>
  <si>
    <t>ERCİŞ YURDU</t>
  </si>
  <si>
    <t>GEVAŞ ÖĞRENCİ YURDU</t>
  </si>
  <si>
    <t>MALAZGİRT ÖĞRENCİ YURDU</t>
  </si>
  <si>
    <t>MUŞ MUŞTAK BABA ÖĞRENCİ YURDU</t>
  </si>
  <si>
    <t>MUŞ YURDU</t>
  </si>
  <si>
    <t>ÖZALP YURDU</t>
  </si>
  <si>
    <t>ŞIRNAK YURDU</t>
  </si>
  <si>
    <t>TATVAN YURDU</t>
  </si>
  <si>
    <t>ZONGULDAK YURDU</t>
  </si>
  <si>
    <t>ZONGULDAK-KARAELMAS YURDU</t>
  </si>
  <si>
    <t>ALAPLI ÖĞRENCİ YURDU</t>
  </si>
  <si>
    <t>BARTIN YURDU</t>
  </si>
  <si>
    <t>ÇAYCUMA YURDU</t>
  </si>
  <si>
    <t>DEVREK SOS.YAR.DAY.VAK.ÖGR.YURDU</t>
  </si>
  <si>
    <t>ESKİPAZAR YURDU</t>
  </si>
  <si>
    <t>KARABUK YURDU</t>
  </si>
  <si>
    <t>KARABUK-BAHADDİN GAZİ YURDU</t>
  </si>
  <si>
    <t>KARABUK-TAŞKENT ÖĞRENCİ YURDU</t>
  </si>
  <si>
    <t>KARADENİZ EREĞLİ YURDU</t>
  </si>
  <si>
    <t>İSABEYLİ YURDU (NAZİLLİ)</t>
  </si>
  <si>
    <t>KAHRAMANMARAŞ</t>
  </si>
  <si>
    <t>İZMİR BARBAROS ÖĞRENCİ YURDU</t>
  </si>
  <si>
    <t>İZMİR GAZİEMİR ÖĞRENCİ YURDU</t>
  </si>
  <si>
    <t>İZMİR KIZ ÖĞRENCİ YURDU</t>
  </si>
  <si>
    <t>URLA</t>
  </si>
  <si>
    <t>ŞEBİNKARAHİSAR</t>
  </si>
  <si>
    <t>K.EREĞLİ</t>
  </si>
  <si>
    <t>KAPASİTE</t>
  </si>
  <si>
    <t>NİĞDE ERTUĞRULGAZİ ÖĞRENCİ YURDU</t>
  </si>
  <si>
    <t>FETHİYE S.M.KOÇMAN YURDU</t>
  </si>
  <si>
    <t>KAZIM KARABEKİR YURDU</t>
  </si>
  <si>
    <t>GAZİANTEP-ŞAHİNBEY ÖĞRENCİ YURDU</t>
  </si>
  <si>
    <t>GAZİANTEP NİLUFER ÖĞRENCİ YURDU</t>
  </si>
  <si>
    <t>FATİH SULTAN MEHMET ÖĞRENCİ YURDU</t>
  </si>
  <si>
    <t>ATATÜRK(İNCİRALTI) YURDU</t>
  </si>
  <si>
    <t>ZÜBEYDE HANIM ÖĞRENCİ YURDU</t>
  </si>
  <si>
    <t>AHİ EVRAN KIZ ÖĞRENCİ YURDU</t>
  </si>
  <si>
    <t>SİVAS HATİCE-TUL KUBRA ÖGR.YURDU</t>
  </si>
  <si>
    <t>GÜRÜN-ENVER BOSTANCI ÖĞR.YURDU</t>
  </si>
  <si>
    <t>ZARA HATİCE-SEFER DURSUN YURDU</t>
  </si>
  <si>
    <t>KARAMAN PİRİ REİS ÖĞRENCİ YURDU</t>
  </si>
  <si>
    <t>CUMHURİYET YURDU</t>
  </si>
  <si>
    <t>KONYA-ŞEMS-İ TEBRİZİ ÖĞRENCİ YURDU</t>
  </si>
  <si>
    <t>BOZKIR-MUSTAFA-SUNA ÖZ YURDU</t>
  </si>
  <si>
    <t>KADINHANI-F.ALİ-FATMA S. İÇİL YURDU</t>
  </si>
  <si>
    <t>HACI HAFİZE ÖZAL KIZ ÖGR.YURDU</t>
  </si>
  <si>
    <t>ATAKUM YURDU</t>
  </si>
  <si>
    <t>AHMET ZİYAUDDİN GUMUŞHANEVİ YURDU</t>
  </si>
  <si>
    <t>ORDU LEBİBE-ERGİN KARLIBELÖĞR.YURDU</t>
  </si>
  <si>
    <t>MEHMET AKİF YURDU (DİYARBAKIR)</t>
  </si>
  <si>
    <t>YUNUS EMRE YURDU</t>
  </si>
  <si>
    <t>ÇUBUK ULUBEY ÖĞRENCİ YURDU</t>
  </si>
  <si>
    <t>GÖLHİSAR</t>
  </si>
  <si>
    <t>ŞUHUT</t>
  </si>
  <si>
    <t>BORNOVA YURDU</t>
  </si>
  <si>
    <t>MANİSA YUNUS EMRE YURDU</t>
  </si>
  <si>
    <t>HACI BEKTAŞ-I VELİ YURDU</t>
  </si>
  <si>
    <t>ILGIN</t>
  </si>
  <si>
    <t>ILGIN YURDU</t>
  </si>
  <si>
    <t>BEYDAĞI YURDU</t>
  </si>
  <si>
    <t>HEKİMHAN</t>
  </si>
  <si>
    <t>HEKİMHAN YURDU</t>
  </si>
  <si>
    <t>ELAZIĞ HAZAR YURDU</t>
  </si>
  <si>
    <t>BARTIN ÇEŞM-İ CİHAN YURDU</t>
  </si>
  <si>
    <t>CİHANBEYLİ YURDU</t>
  </si>
  <si>
    <t>CİHANBEYLİ</t>
  </si>
  <si>
    <t>HOPA YURDU</t>
  </si>
  <si>
    <t>HOPA</t>
  </si>
  <si>
    <t>LEFKE</t>
  </si>
  <si>
    <t>KEŞAP</t>
  </si>
  <si>
    <t>ÇAKABEY YURDU</t>
  </si>
  <si>
    <t>ABDURRAHİM ARVASİ ÖĞRENCİ YURDU</t>
  </si>
  <si>
    <t>VEZİRKÖPRÜ</t>
  </si>
  <si>
    <t>VEZİRKÖPRÜ YURDU</t>
  </si>
  <si>
    <t>HAVZA</t>
  </si>
  <si>
    <t>HAVZA YURDU</t>
  </si>
  <si>
    <t>ONDOKUZ MAYIS YURDU</t>
  </si>
  <si>
    <t>HADİM</t>
  </si>
  <si>
    <t>HADİM YURDU</t>
  </si>
  <si>
    <t>OSMANCIK</t>
  </si>
  <si>
    <t>OSMANCIK YURDU</t>
  </si>
  <si>
    <t>ALUCRA</t>
  </si>
  <si>
    <t>AFYONKARAHİSAR</t>
  </si>
  <si>
    <t>ONDOKUZMAYIS</t>
  </si>
  <si>
    <t>ŞEREFLİKOÇHİSAR</t>
  </si>
  <si>
    <t>SİLİFKE</t>
  </si>
  <si>
    <t>SİVAS SANCAKTAR YURDU</t>
  </si>
  <si>
    <t>ANAMUR</t>
  </si>
  <si>
    <t>PINARBAŞI</t>
  </si>
  <si>
    <t>CİHANNÜMA YURDU</t>
  </si>
  <si>
    <t>AĞRI YURDU</t>
  </si>
  <si>
    <t>KIRŞEHİR KERVANSARAY YURDU</t>
  </si>
  <si>
    <t>MAGOSA</t>
  </si>
  <si>
    <t>KIBRIS</t>
  </si>
  <si>
    <t>GEMLİK</t>
  </si>
  <si>
    <t>TERMAL</t>
  </si>
  <si>
    <t>ÜNYE YURDU</t>
  </si>
  <si>
    <t>CEMALEDDİN AKSARAY-İ ÖĞRENCİ YURDU</t>
  </si>
  <si>
    <t>AĞRI-AHMED-İ HANİ ÖĞRENCİ YURDU</t>
  </si>
  <si>
    <t>VEYSEL KARANİ YURDU</t>
  </si>
  <si>
    <t>HÜSNÜŞAH HATUN YURDU</t>
  </si>
  <si>
    <t>ORUÇ REİS YURDU</t>
  </si>
  <si>
    <t>BEŞMİNARE YURDU</t>
  </si>
  <si>
    <t>BİRUNİ YURDU</t>
  </si>
  <si>
    <t>HAREZMİ YURDU</t>
  </si>
  <si>
    <t>İBN-İ RÜŞD YURDU</t>
  </si>
  <si>
    <t>İBN-İ HALDUN YURDU</t>
  </si>
  <si>
    <t>HANDAN SULTAN YURDU</t>
  </si>
  <si>
    <t>ŞAH CİHAN SULTAN YURDU</t>
  </si>
  <si>
    <t>SEYYİD VAKKAS YURDU</t>
  </si>
  <si>
    <t>MOLLA HÜSREV YURDU</t>
  </si>
  <si>
    <t>GÜMÜŞHANE HALİT ZARBUN YURDU</t>
  </si>
  <si>
    <t>ZEYNEP ANA YURDU</t>
  </si>
  <si>
    <t>LATİFE HANIM YURDU</t>
  </si>
  <si>
    <t>KATİP ÇELEBİ YURDU</t>
  </si>
  <si>
    <t>MUSTAFA ASIM KÖKSAL YURDU</t>
  </si>
  <si>
    <t>ŞULE YÜKSEL ŞENLER YURDU</t>
  </si>
  <si>
    <t xml:space="preserve">PERTEVNİYAL SULTAN </t>
  </si>
  <si>
    <t xml:space="preserve">SALİHA SULTAN YURDU </t>
  </si>
  <si>
    <t>SELÇUK HATUN YURDU</t>
  </si>
  <si>
    <t>EROL GÜNGÖR YURDU</t>
  </si>
  <si>
    <t>ALTUNCAN HATUN YURDU</t>
  </si>
  <si>
    <t>KOCAELİ VİLAYETLER HİZMET BİRLİĞİ YURDU</t>
  </si>
  <si>
    <t>ALİ ULVİ KURUCU YURDU</t>
  </si>
  <si>
    <t xml:space="preserve">MELİKE HATUN YURDU </t>
  </si>
  <si>
    <t>FATIMATÜ'Z ZEHRA YURDU</t>
  </si>
  <si>
    <t xml:space="preserve">AYŞE HAFSA SULTAN YURDU </t>
  </si>
  <si>
    <t>MERKEZ EFENDİ YURDU</t>
  </si>
  <si>
    <t>FARABİ YURDU</t>
  </si>
  <si>
    <t>HÜMAŞAH YURDU</t>
  </si>
  <si>
    <t xml:space="preserve">AYŞE HÜMAŞAH SULTAN YURDU </t>
  </si>
  <si>
    <t>HEKİMOĞLU YURDU</t>
  </si>
  <si>
    <t>EVLİYA ÇELEBİ YURDU</t>
  </si>
  <si>
    <t>MEHMET FUAD KÖPRÜLÜ YURDU</t>
  </si>
  <si>
    <t>TENZİLE ERDOĞAN YURDU</t>
  </si>
  <si>
    <t>AHMET TEVFİK İLERİ YURDU</t>
  </si>
  <si>
    <t>DEVLET HATUN YURDU</t>
  </si>
  <si>
    <t>GÜLCEMAL HATUN YURDU</t>
  </si>
  <si>
    <t>ALİ FUAT BAŞGİL YURDU</t>
  </si>
  <si>
    <t xml:space="preserve">MÜNEVVER AYAŞLI YURDU  </t>
  </si>
  <si>
    <t>ALAİYE YURDU</t>
  </si>
  <si>
    <t>CEZERİ YURDU</t>
  </si>
  <si>
    <t>ALİ PAŞA YURDU</t>
  </si>
  <si>
    <t>GÜLBAHAR HATUN YURDU</t>
  </si>
  <si>
    <t>FUAT SEZGİN YURDU</t>
  </si>
  <si>
    <t>EHLİBEYT YURDU</t>
  </si>
  <si>
    <t>ÜMMÜ EYMEN YURDU</t>
  </si>
  <si>
    <t>AİŞE SIDDIKA YURDU</t>
  </si>
  <si>
    <t>AMİNE HATUN YURDU</t>
  </si>
  <si>
    <t>İMAM ŞAFİİ YURDU</t>
  </si>
  <si>
    <t>AHMET EFENDİ YURDU</t>
  </si>
  <si>
    <t>BOZOK YURDU</t>
  </si>
  <si>
    <t>HATİCE TURHAN SULTAN YURDU</t>
  </si>
  <si>
    <t>İBRAHİM ETHEM YURDU</t>
  </si>
  <si>
    <t>ADANA/ADANA</t>
  </si>
  <si>
    <t>ADANA/CEYHAN</t>
  </si>
  <si>
    <t>ADIYAMAN/ADIYAMAN</t>
  </si>
  <si>
    <t>ADIYAMAN/BESNİ</t>
  </si>
  <si>
    <t>ADIYAMAN/KAHTA</t>
  </si>
  <si>
    <t>AFYONKARAHİSAR/AFYONKARAHİSAR</t>
  </si>
  <si>
    <t>AFYONKARAHİSAR/BAYAT</t>
  </si>
  <si>
    <t>AFYONKARAHİSAR/DİNAR</t>
  </si>
  <si>
    <t>AFYONKARAHİSAR/EMİRDAĞ</t>
  </si>
  <si>
    <t>AFYONKARAHİSAR/ŞUHUT</t>
  </si>
  <si>
    <t>AĞRI/AĞRI</t>
  </si>
  <si>
    <t>AKSARAY/AKSARAY</t>
  </si>
  <si>
    <t>AKSARAY/ORTAKÖY</t>
  </si>
  <si>
    <t>AMASYA/AMASYA</t>
  </si>
  <si>
    <t>AMASYA/MERZİFON</t>
  </si>
  <si>
    <t>ANKARA/ANKARA</t>
  </si>
  <si>
    <t>ANKARA/ÇUBUK</t>
  </si>
  <si>
    <t>ANKARA/KALECİK</t>
  </si>
  <si>
    <t>ANKARA/POLATLI</t>
  </si>
  <si>
    <t>ANKARA/ŞEREFLİKOÇHİSAR</t>
  </si>
  <si>
    <t>ANTALYA/ANTALYA</t>
  </si>
  <si>
    <t>ANTALYA/ALANYA</t>
  </si>
  <si>
    <t>ANTALYA/MANAVGAT</t>
  </si>
  <si>
    <t>ARDAHAN/ARDAHAN</t>
  </si>
  <si>
    <t>ARTVİN/ARTVİN</t>
  </si>
  <si>
    <t>ARTVİN/HOPA</t>
  </si>
  <si>
    <t>AYDIN/AYDIN</t>
  </si>
  <si>
    <t>AYDIN/KOÇARLI</t>
  </si>
  <si>
    <t>AYDIN/KUŞADASI</t>
  </si>
  <si>
    <t>AYDIN/NAZİLLİ</t>
  </si>
  <si>
    <t>AYDIN/YENİPAZAR</t>
  </si>
  <si>
    <t>AYDIN/SULTANHİSAR</t>
  </si>
  <si>
    <t>BALIKESİR/BALIKESİR</t>
  </si>
  <si>
    <t>BALIKESİR/BANDIRMA</t>
  </si>
  <si>
    <t>BALIKESİR/DURSUNBEY</t>
  </si>
  <si>
    <t>BALIKESİR/HAVRAN</t>
  </si>
  <si>
    <t>BARTIN/BARTIN</t>
  </si>
  <si>
    <t>BATMAN/BATMAN</t>
  </si>
  <si>
    <t>BAYBURT/BAYBURT</t>
  </si>
  <si>
    <t>BİLECİK/BİLECİK</t>
  </si>
  <si>
    <t>BİLECİK/PAZARYERİ</t>
  </si>
  <si>
    <t>BİNGÖL/BİNGÖL</t>
  </si>
  <si>
    <t>BİTLİS/BİTLİS</t>
  </si>
  <si>
    <t>BİTLİS/ADİLCEVAZ</t>
  </si>
  <si>
    <t>BİTLİS/AHLAT</t>
  </si>
  <si>
    <t>BİTLİS/TATVAN</t>
  </si>
  <si>
    <t>BOLU/BOLU</t>
  </si>
  <si>
    <t>BOLU/GEREDE</t>
  </si>
  <si>
    <t>BOLU/MUDURNU</t>
  </si>
  <si>
    <t>BURDUR/BURDUR</t>
  </si>
  <si>
    <t>BURDUR/BUCAK</t>
  </si>
  <si>
    <t>BURDUR/GÖLHİSAR</t>
  </si>
  <si>
    <t>BURSA/BURSA</t>
  </si>
  <si>
    <t>BURSA/GEMLİK</t>
  </si>
  <si>
    <t>ÇANAKKALE/ÇANAKKALE</t>
  </si>
  <si>
    <t>ÇANAKKALE/BİGA</t>
  </si>
  <si>
    <t>ÇANAKKALE/GELİBOLU</t>
  </si>
  <si>
    <t>ÇANKIRI/ÇANKIRI</t>
  </si>
  <si>
    <t>ÇORUM/ÇORUM</t>
  </si>
  <si>
    <t>ÇORUM/OSMANCIK</t>
  </si>
  <si>
    <t>DENİZLİ/DENİZLİ</t>
  </si>
  <si>
    <t>DENİZLİ/BEKİLLİ</t>
  </si>
  <si>
    <t>DENİZLİ/BULDAN</t>
  </si>
  <si>
    <t>DENİZLİ/HONAZ</t>
  </si>
  <si>
    <t>DENİZLİ/TAVAS</t>
  </si>
  <si>
    <t>DİYARBAKIR/DİYARBAKIR</t>
  </si>
  <si>
    <t>DÜZCE/DÜZCE</t>
  </si>
  <si>
    <t>DÜZCE/AKÇAKOCA</t>
  </si>
  <si>
    <t>DÜZCE/KAYNAŞLI</t>
  </si>
  <si>
    <t>EDİRNE/EDİRNE</t>
  </si>
  <si>
    <t>EDİRNE/HAVSA</t>
  </si>
  <si>
    <t>EDİRNE/KEŞAN</t>
  </si>
  <si>
    <t>EDİRNE/UZUNKÖPRÜ</t>
  </si>
  <si>
    <t>ELAZIĞ/ELAZIĞ</t>
  </si>
  <si>
    <t>ERZİNCAN/ERZİNCAN</t>
  </si>
  <si>
    <t>ERZİNCAN/KEMAH</t>
  </si>
  <si>
    <t>ERZİNCAN/KEMALİYE</t>
  </si>
  <si>
    <t>ERZİNCAN/REFAHİYE</t>
  </si>
  <si>
    <t>ERZİNCAN/TERCAN</t>
  </si>
  <si>
    <t>ERZURUM/ERZURUM</t>
  </si>
  <si>
    <t>ERZURUM/AŞKALE</t>
  </si>
  <si>
    <t>ERZURUM/İSPİR</t>
  </si>
  <si>
    <t>ERZURUM/OLTU</t>
  </si>
  <si>
    <t>ERZURUM/PASİNLER</t>
  </si>
  <si>
    <t>ESKİŞEHİR/ESKİŞEHİR</t>
  </si>
  <si>
    <t>ESKİŞEHİR/SİVRİHİSAR</t>
  </si>
  <si>
    <t>GAZİANTEP/GAZİANTEP</t>
  </si>
  <si>
    <t>GAZİANTEP/NİZİP</t>
  </si>
  <si>
    <t>GİRESUN/GİRESUN</t>
  </si>
  <si>
    <t>GİRESUN/ALUCRA</t>
  </si>
  <si>
    <t>GİRESUN/EYNESİL</t>
  </si>
  <si>
    <t>GİRESUN/KEŞAP</t>
  </si>
  <si>
    <t>GİRESUN/ŞEBİNKARAHİSAR</t>
  </si>
  <si>
    <t>GİRESUN/TİREBOLU</t>
  </si>
  <si>
    <t>GÜMÜŞHANE/GÜMÜŞHANE</t>
  </si>
  <si>
    <t>GÜMÜŞHANE/TORUL</t>
  </si>
  <si>
    <t>HAKKARİ/HAKKARİ</t>
  </si>
  <si>
    <t>HATAY/HATAY</t>
  </si>
  <si>
    <t>HATAY/İSKENDERUN</t>
  </si>
  <si>
    <t>IĞDIR/IĞDIR</t>
  </si>
  <si>
    <t>ISPARTA/ISPARTA</t>
  </si>
  <si>
    <t>ISPARTA/ATABEY</t>
  </si>
  <si>
    <t>ISPARTA/EĞİRDİR</t>
  </si>
  <si>
    <t>ISPARTA/YALVAÇ</t>
  </si>
  <si>
    <t>ISPARTA/SÜTÇÜLER</t>
  </si>
  <si>
    <t>İSTANBUL/İSTANBUL</t>
  </si>
  <si>
    <t>İZMİR/İZMİR</t>
  </si>
  <si>
    <t>İZMİR/ÇEŞME</t>
  </si>
  <si>
    <t>İZMİR/URLA</t>
  </si>
  <si>
    <t>KAHRAMANMARAŞ/KAHRAMANMARAŞ</t>
  </si>
  <si>
    <t>KAHRAMANMARAŞ/AFŞİN</t>
  </si>
  <si>
    <t>KAHRAMANMARAŞ/ELBİSTAN</t>
  </si>
  <si>
    <t>KAHRAMANMARAŞ/GÖKSUN</t>
  </si>
  <si>
    <t>KARABÜK/KARABÜK</t>
  </si>
  <si>
    <t>KARABÜK/ESKİPAZAR</t>
  </si>
  <si>
    <t>KARAMAN/KARAMAN</t>
  </si>
  <si>
    <t>KARAMAN/ERMENEK</t>
  </si>
  <si>
    <t>KARS/KARS</t>
  </si>
  <si>
    <t>KASTAMONU/KASTAMONU</t>
  </si>
  <si>
    <t>KAYSERİ/KAYSERİ</t>
  </si>
  <si>
    <t>KAYSERİ/DEVELİ</t>
  </si>
  <si>
    <t>KAYSERİ/PINARBAŞI</t>
  </si>
  <si>
    <t>KIRIKKALE/KIRIKKALE</t>
  </si>
  <si>
    <t>KIRIKKALE/KESKİN</t>
  </si>
  <si>
    <t>KIRKLARELİ/KIRKLARELİ</t>
  </si>
  <si>
    <t>KIRKLARELİ/LÜLEBURGAZ</t>
  </si>
  <si>
    <t>KIRŞEHİR/KIRŞEHİR</t>
  </si>
  <si>
    <t>KIRŞEHİR/KAMAN</t>
  </si>
  <si>
    <t>KIRŞEHİR/MUCUR</t>
  </si>
  <si>
    <t>KİLİS/KİLİS</t>
  </si>
  <si>
    <t>KOCAELİ/KOCAELİ</t>
  </si>
  <si>
    <t>KOCAELİ/GEBZE</t>
  </si>
  <si>
    <t>KOCAELİ/KANDIRA</t>
  </si>
  <si>
    <t>KOCAELİ/KARAMÜRSEL</t>
  </si>
  <si>
    <t>KONYA/KONYA</t>
  </si>
  <si>
    <t>KONYA/AKŞEHİR</t>
  </si>
  <si>
    <t>KONYA/BEYŞEHİR</t>
  </si>
  <si>
    <t>KONYA/BOZKIR</t>
  </si>
  <si>
    <t>KONYA/CİHANBEYLİ</t>
  </si>
  <si>
    <t>KONYA/ÇUMRA</t>
  </si>
  <si>
    <t>KONYA/EREĞLİ</t>
  </si>
  <si>
    <t>KONYA/HADİM</t>
  </si>
  <si>
    <t>KONYA/ILGIN</t>
  </si>
  <si>
    <t>KONYA/KADINHANI</t>
  </si>
  <si>
    <t>KONYA/SEYDİŞEHİR</t>
  </si>
  <si>
    <t>KÜTAHYA/KÜTAHYA</t>
  </si>
  <si>
    <t>KÜTAHYA/GEDİZ</t>
  </si>
  <si>
    <t>KÜTAHYA/SİMAV</t>
  </si>
  <si>
    <t>MALATYA/MALATYA</t>
  </si>
  <si>
    <t>MALATYA/ARAPGİR</t>
  </si>
  <si>
    <t>MALATYA/HEKİMHAN</t>
  </si>
  <si>
    <t>MANİSA/MANİSA</t>
  </si>
  <si>
    <t>MANİSA/AKHİSAR</t>
  </si>
  <si>
    <t>MANİSA/ALAŞEHİR</t>
  </si>
  <si>
    <t>MANİSA/DEMİRCİ</t>
  </si>
  <si>
    <t>MANİSA/GÖRDES</t>
  </si>
  <si>
    <t>MANİSA/KIRKAĞAÇ</t>
  </si>
  <si>
    <t>MANİSA/KÖPRÜBAŞI</t>
  </si>
  <si>
    <t>MANİSA/SALİHLİ</t>
  </si>
  <si>
    <t>MANİSA/TURGUTLU</t>
  </si>
  <si>
    <t>MARDİN/MARDİN</t>
  </si>
  <si>
    <t>MERSİN/MERSİN</t>
  </si>
  <si>
    <t>MERSİN/ANAMUR</t>
  </si>
  <si>
    <t>MERSİN/ERDEMLİ</t>
  </si>
  <si>
    <t>MERSİN/SİLİFKE</t>
  </si>
  <si>
    <t>MERSİN/TARSUS</t>
  </si>
  <si>
    <t>MUĞLA/MUĞLA</t>
  </si>
  <si>
    <t>MUĞLA/FETHİYE</t>
  </si>
  <si>
    <t>MUĞLA/ORTACA</t>
  </si>
  <si>
    <t>MUŞ/MUŞ</t>
  </si>
  <si>
    <t>MUŞ/MALAZGİRT</t>
  </si>
  <si>
    <t>NEVŞEHİR/NEVŞEHİR</t>
  </si>
  <si>
    <t>NEVŞEHİR/AVANOS</t>
  </si>
  <si>
    <t>NEVŞEHİR/ÜRGÜP</t>
  </si>
  <si>
    <t>NİĞDE/NİĞDE</t>
  </si>
  <si>
    <t>NİĞDE/BOR</t>
  </si>
  <si>
    <t>ORDU/ORDU</t>
  </si>
  <si>
    <t>ORDU/FATSA</t>
  </si>
  <si>
    <t>ORDU/MESUDİYE</t>
  </si>
  <si>
    <t>ORDU/ÜNYE</t>
  </si>
  <si>
    <t>OSMANİYE/OSMANİYE</t>
  </si>
  <si>
    <t>RİZE/RİZE</t>
  </si>
  <si>
    <t>RİZE/ÇAYELİ</t>
  </si>
  <si>
    <t>RİZE/DEREPAZARI</t>
  </si>
  <si>
    <t>RİZE/FINDIKLI</t>
  </si>
  <si>
    <t>RİZE/PAZAR</t>
  </si>
  <si>
    <t>SAKARYA/SAKARYA</t>
  </si>
  <si>
    <t>SAKARYA/HENDEK</t>
  </si>
  <si>
    <t>SAMSUN/SAMSUN</t>
  </si>
  <si>
    <t>SAMSUN/BAFRA</t>
  </si>
  <si>
    <t>SAMSUN/ÇARŞAMBA</t>
  </si>
  <si>
    <t>SAMSUN/HAVZA</t>
  </si>
  <si>
    <t>SAMSUN/ONDOKUZMAYIS</t>
  </si>
  <si>
    <t>SAMSUN/TERME</t>
  </si>
  <si>
    <t>SAMSUN/VEZİRKÖPRÜ</t>
  </si>
  <si>
    <t>SİİRT/SİİRT</t>
  </si>
  <si>
    <t>SİNOP/SİNOP</t>
  </si>
  <si>
    <t>SİNOP/AYANCIK</t>
  </si>
  <si>
    <t>SİVAS/SİVAS</t>
  </si>
  <si>
    <t>SİVAS/GÜRÜN</t>
  </si>
  <si>
    <t>SİVAS/SUŞEHRİ</t>
  </si>
  <si>
    <t>SİVAS/YILDIZELİ</t>
  </si>
  <si>
    <t>SİVAS/ZARA</t>
  </si>
  <si>
    <t>ŞANLIURFA/ŞANLIURFA</t>
  </si>
  <si>
    <t>ŞIRNAK/ŞIRNAK</t>
  </si>
  <si>
    <t>TEKİRDAĞ/TEKİRDAĞ</t>
  </si>
  <si>
    <t>TEKİRDAĞ/ÇORLU</t>
  </si>
  <si>
    <t>TEKİRDAĞ/HAYRABOLU</t>
  </si>
  <si>
    <t>TEKİRDAĞ/MALKARA</t>
  </si>
  <si>
    <t>TEKİRDAĞ/ŞARKÖY</t>
  </si>
  <si>
    <t>TOKAT/TOKAT</t>
  </si>
  <si>
    <t>TOKAT/ERBAA</t>
  </si>
  <si>
    <t>TOKAT/NİKSAR</t>
  </si>
  <si>
    <t>TOKAT/TURHAL</t>
  </si>
  <si>
    <t>TOKAT/ZİLE</t>
  </si>
  <si>
    <t>TRABZON/TRABZON</t>
  </si>
  <si>
    <t>TRABZON/AKÇAABAT</t>
  </si>
  <si>
    <t>TRABZON/BEŞİKDÜZÜ</t>
  </si>
  <si>
    <t>TRABZON/MAÇKA</t>
  </si>
  <si>
    <t>TRABZON/OF</t>
  </si>
  <si>
    <t>TRABZON/SÜRMENE</t>
  </si>
  <si>
    <t>TUNCELİ/TUNCELİ</t>
  </si>
  <si>
    <t>UŞAK/UŞAK</t>
  </si>
  <si>
    <t>VAN/VAN</t>
  </si>
  <si>
    <t>VAN/ERCİŞ</t>
  </si>
  <si>
    <t>VAN/GEVAŞ</t>
  </si>
  <si>
    <t>VAN/ÖZALP</t>
  </si>
  <si>
    <t>YALOVA/YALOVA</t>
  </si>
  <si>
    <t>YALOVA/TERMAL</t>
  </si>
  <si>
    <t>YOZGAT/YOZGAT</t>
  </si>
  <si>
    <t>YOZGAT/AKDAĞMADENİ</t>
  </si>
  <si>
    <t>ZONGULDAK/ZONGULDAK</t>
  </si>
  <si>
    <t>ZONGULDAK/ALAPLI</t>
  </si>
  <si>
    <t>ZONGULDAK/ÇAYCUMA</t>
  </si>
  <si>
    <t>ZONGULDAK/DEVREK</t>
  </si>
  <si>
    <t>ZONGULDAK/K.EREĞLİ</t>
  </si>
  <si>
    <t>KIBRIS/LEFKE</t>
  </si>
  <si>
    <t>KIBRIS/MAGOSA</t>
  </si>
  <si>
    <t>İL/İLÇE</t>
  </si>
  <si>
    <t>YURT SAYISI</t>
  </si>
  <si>
    <t>HAFİK</t>
  </si>
  <si>
    <t>SİVAS/HAFİK</t>
  </si>
  <si>
    <t>AKÖREN YURDU</t>
  </si>
  <si>
    <t>AKÖREN</t>
  </si>
  <si>
    <t>KONYA/AKÖREN</t>
  </si>
  <si>
    <t>SEYYİD FEHİM ARVASİ YURDU</t>
  </si>
  <si>
    <t>TAVŞANLI</t>
  </si>
  <si>
    <t>KÜTAHYA/TAVŞANLI</t>
  </si>
  <si>
    <t>SAFVAN BİN MUATTAL YURDU</t>
  </si>
  <si>
    <t>KULU</t>
  </si>
  <si>
    <t>MEHMET VEHBİ ÇELİK YURDU</t>
  </si>
  <si>
    <t>KONYA/KULU</t>
  </si>
  <si>
    <t>GAZİ HASAN PAŞA ÖĞRENCİ YURDU</t>
  </si>
  <si>
    <t>İSKİLİPLİ ATIF HOCA YURDU</t>
  </si>
  <si>
    <t>KELKİT</t>
  </si>
  <si>
    <t>OSMAN NURİ EFENDİ YURDU</t>
  </si>
  <si>
    <t>ŞAHİDİ KIZ YURDU</t>
  </si>
  <si>
    <t>GÜMÜŞHANE/KELKİT</t>
  </si>
  <si>
    <t>HAYRETTİN KARAMAN YURDU</t>
  </si>
  <si>
    <t>HALUK NUR BAKİ YURDU</t>
  </si>
  <si>
    <t>VAKFIKEBİR</t>
  </si>
  <si>
    <t>KORKUTELİ</t>
  </si>
  <si>
    <t>KEÇİBORLU</t>
  </si>
  <si>
    <t>TRABZON/VAKFIKEBİR</t>
  </si>
  <si>
    <t>ISPARTA/KEÇİBORLU</t>
  </si>
  <si>
    <t>ANTALYA/KORKUTELİ</t>
  </si>
  <si>
    <t>EMİNE NAZİKEDA YURDU</t>
  </si>
  <si>
    <t>ATATÜRK ÖĞRENCİ YURDU</t>
  </si>
  <si>
    <t>PROF. DR. CEVAT AKŞİT YURDU</t>
  </si>
  <si>
    <t>AHMET KABAKLI YURDU</t>
  </si>
  <si>
    <t>FAHRÜNNİSA HATUN YURDU</t>
  </si>
  <si>
    <t>İL</t>
  </si>
  <si>
    <t>BEŞİKDÜZÜ ÖĞRENCİ YURDU</t>
  </si>
  <si>
    <t>MEHMED EMİN TOKADİ YURDU</t>
  </si>
  <si>
    <t>SANDIKLI</t>
  </si>
  <si>
    <t>AFYONKARAHİSAR/SANDIKLI</t>
  </si>
  <si>
    <t>ŞEMSEDDİN SİVASİ ÖĞRENCİ YURDU</t>
  </si>
  <si>
    <t>BORÇKA</t>
  </si>
  <si>
    <t>ARTVİN/BORÇKA</t>
  </si>
  <si>
    <t>KOCASİNAN YURDU</t>
  </si>
  <si>
    <t>MAHİR İZ ÖĞRENCİ YURDU</t>
  </si>
  <si>
    <t>SOMUNCU BABA YURDU</t>
  </si>
  <si>
    <t>ERTUĞRULGAZİ ÖĞRENCİ YURDU</t>
  </si>
  <si>
    <t>NECLA PEKOLCAY ÖĞRENCİ YURDU</t>
  </si>
  <si>
    <t>GAZİ HASAN EFENDİ ÖĞRENCİ YURDU</t>
  </si>
  <si>
    <t>NİYAZİ MISRİ ÖĞRENCİ YURDU</t>
  </si>
  <si>
    <t>BAYINDIR</t>
  </si>
  <si>
    <t>ARİF NİHAT ASYA ÖĞRENCİ YURDU</t>
  </si>
  <si>
    <t>İZMİR/BAYINDIR</t>
  </si>
  <si>
    <t>İSLAHİYE</t>
  </si>
  <si>
    <t>UKKAŞE ÖĞRENCİ YURDU</t>
  </si>
  <si>
    <t>AĞLARBABA ÖĞRENCİ YURDU</t>
  </si>
  <si>
    <t>GAZİANTEP/İSLAHİYE</t>
  </si>
  <si>
    <t>İSMİNAZ KANCA YURDU</t>
  </si>
  <si>
    <t>AZİZİYE ÖĞRENCİ YURDU</t>
  </si>
  <si>
    <t>SARIKAMIŞ</t>
  </si>
  <si>
    <t>KARS/SARIKAMIŞ</t>
  </si>
  <si>
    <t>ŞAPHANE</t>
  </si>
  <si>
    <t>KÜTAHYA/ŞAPHANE</t>
  </si>
  <si>
    <t>MUNZUR ÖĞRENCİ YURDU</t>
  </si>
  <si>
    <t>MAHMUT CELALETTİN ÖKTEN ÖĞRENCİ YURDU</t>
  </si>
  <si>
    <t>MİDYAT</t>
  </si>
  <si>
    <t>AZİZ SANCAR YURDU</t>
  </si>
  <si>
    <t>MARDİN/MİDYAT</t>
  </si>
  <si>
    <t>BURHANİYE</t>
  </si>
  <si>
    <t>BALIKESİR/BURHANİYE</t>
  </si>
  <si>
    <t>ÖMER BİLGİNOĞLU YURDU</t>
  </si>
  <si>
    <t>SARE ANA YURDU</t>
  </si>
  <si>
    <t>GÖLCÜK</t>
  </si>
  <si>
    <t>KOCAELİ/GÖLCÜK</t>
  </si>
  <si>
    <t>KAPAKLI</t>
  </si>
  <si>
    <t>TEKİRDAĞ/KAPAKLI</t>
  </si>
  <si>
    <t>KARACABEY</t>
  </si>
  <si>
    <t>KARACABEY ÖĞRENCİ YURDU</t>
  </si>
  <si>
    <t>BURSA/KARACABEY</t>
  </si>
  <si>
    <t>EMİNE ŞERİFE HANIM ÖĞRENCİ YURDU</t>
  </si>
  <si>
    <t>İLÇE</t>
  </si>
  <si>
    <t>NALLIHAN</t>
  </si>
  <si>
    <t>HAFİK ÖĞRENCİ YURDU</t>
  </si>
  <si>
    <t>ANKARA/NALLIHAN</t>
  </si>
  <si>
    <t>HATİCE HAYRİYE TURGUTLU ÖĞRENCİ YURDU</t>
  </si>
  <si>
    <t>AZİZ HÜSEYİN GÖKÇE ÖĞRENCİ YURDU</t>
  </si>
  <si>
    <t>MERCİDABIK ÖĞRENCİ YURDU</t>
  </si>
  <si>
    <t>AYRI</t>
  </si>
  <si>
    <t>HACI SABANCI YURDU(ADANA)</t>
  </si>
  <si>
    <t>FEVZİ ÇAKMAK YURDU(ADANA)</t>
  </si>
  <si>
    <t>MAHMUT SAMİ RAMAZANOĞLU ÖĞRENCİ YURDU</t>
  </si>
  <si>
    <t xml:space="preserve">CEMİL MERİÇ ÖĞRENCİ YURDU </t>
  </si>
  <si>
    <t>SADIK EFENDİ ÖĞRENCİ YURDU</t>
  </si>
  <si>
    <t xml:space="preserve">HABİBİ NECCAR ÖĞRENCİ YURDU </t>
  </si>
  <si>
    <t>TAYFUR SÖKMEN ÖĞRENCİ YURDU</t>
  </si>
  <si>
    <t>MUHYİDDİN İBN-İ ARABİ ÖĞRENCİ YURDU</t>
  </si>
  <si>
    <t xml:space="preserve">GAZİYE HATUN ÖĞRENCİ YURDU </t>
  </si>
  <si>
    <t xml:space="preserve">KIRKKAŞIK ÖĞRENCİ YURDU </t>
  </si>
  <si>
    <t>MERSİN-YENİŞEHİR ÖĞRENCİ YURDU</t>
  </si>
  <si>
    <t>ANAMUR ÖĞRENCİ YURDU</t>
  </si>
  <si>
    <t>SİLİFKE TAŞUCU ÖĞRENCİ YURDU</t>
  </si>
  <si>
    <t>NİĞDE SABANCI ÖĞRENCİ YURDU</t>
  </si>
  <si>
    <t>SULTAN I. KILIÇARSLAN ÖĞRENCİ YURDU</t>
  </si>
  <si>
    <t>SULTAN II. KILIÇARSLAN ÖĞRENCİ YURDU</t>
  </si>
  <si>
    <t>ATATÜRK YURDU(ANKARA)</t>
  </si>
  <si>
    <t>ANKARA HACI BAYRAM-I VELİ ÖĞRENCİ YURDU</t>
  </si>
  <si>
    <t>HACI ÖMER SABANCI YURDU(ANKARA)</t>
  </si>
  <si>
    <t>MAHMUT NEDİM ZAPÇI YURDU(ANK)</t>
  </si>
  <si>
    <t>MEHMET AKİF YURDU (ANKARA)</t>
  </si>
  <si>
    <t>ZÜBEYDE HANIM YURDU(ANKARA)</t>
  </si>
  <si>
    <t xml:space="preserve">FATMA HANIM ÖĞRENCİ YURDU </t>
  </si>
  <si>
    <t>ALİ SEMERKANDİ ÖĞRENCİ YURDU</t>
  </si>
  <si>
    <t xml:space="preserve">HACI MURAT VELİ ÖĞRENCİ YURDU </t>
  </si>
  <si>
    <t>TÜRKAN HATUN ÖĞRENCİ YURDU</t>
  </si>
  <si>
    <t xml:space="preserve">HAMİDİYE ÖĞRENCİ YURDU </t>
  </si>
  <si>
    <t xml:space="preserve">FATMA ALİYE HANIM ÖĞRENCİ YURDU </t>
  </si>
  <si>
    <t xml:space="preserve">RABİA GÜLNUŞ ÖĞRENCİ YURDU </t>
  </si>
  <si>
    <t xml:space="preserve">BEZM-İ ALEM VALİDE SULTAN ÖĞRENCİ YURDU </t>
  </si>
  <si>
    <t>AHMET HAMDİ AKSEKİ ÖĞRENCİ YURDU</t>
  </si>
  <si>
    <t>ELMALILI HAMDİ YAZIR ÖĞRENCİ YURDU</t>
  </si>
  <si>
    <t>KORKUTELİ ÖĞRENCİ YURDU</t>
  </si>
  <si>
    <t>GÜLİSTAN ÖĞRENCİ YURDU</t>
  </si>
  <si>
    <t xml:space="preserve">GÖKVELİ SULTAN ÖĞRENCİ YURDU </t>
  </si>
  <si>
    <t>GÜLCİHAN ÖĞRENCİ YURDU</t>
  </si>
  <si>
    <t>GÜLKENT ÖĞRENCİ YURDU</t>
  </si>
  <si>
    <t>ASIM'IN NESLİ ÖĞRENCİ YURDU</t>
  </si>
  <si>
    <t>RAHMİ SULTAN ÖĞRENCİ YURDU</t>
  </si>
  <si>
    <t>SAFAHAT ÖĞRENCİ YURDU</t>
  </si>
  <si>
    <t>FERELİ SİNAN EFENDİ ÖĞRENCİYURDU</t>
  </si>
  <si>
    <t>GÖLHİSAR ÖĞRENCİ YURDU</t>
  </si>
  <si>
    <t>BOLU-ABANT ÖĞRENCİ YURDU</t>
  </si>
  <si>
    <t>BOLU GÖLKÖY ÖGRENCİ YURDU</t>
  </si>
  <si>
    <t>BOLU-KÖROĞLU ÖĞRENCİ YURDU</t>
  </si>
  <si>
    <t>DÜZCE AVNİ AKYOL YURDU</t>
  </si>
  <si>
    <t>ZAHİDÜL KEVSERİ ÖĞRENCİ YURDU</t>
  </si>
  <si>
    <t>DÜZCE-KONURALP ÖĞRENCİ YURDU</t>
  </si>
  <si>
    <t>EBU HANİFE ÖĞRENCİ YURDU</t>
  </si>
  <si>
    <t>KOCAELİ ÖĞRENCİ YURDU</t>
  </si>
  <si>
    <t>SAMİHA AYVERDİ ÖĞRENCİ YURDU</t>
  </si>
  <si>
    <t>ALİ KUŞÇU ÖĞRENCİ YURDU</t>
  </si>
  <si>
    <t>KOCAELİ ZEKİYE GÜNDOĞDU YURDU</t>
  </si>
  <si>
    <t>AHMET CEVDET PAŞA ÖĞRENCİ YURDU</t>
  </si>
  <si>
    <t>ŞERİFE GELİN ÖĞRENCİ YURDU</t>
  </si>
  <si>
    <t>AHMET HİLMİ EFENDİ ÖĞRENCİ YURDU</t>
  </si>
  <si>
    <t>SABAHATTİN ZAİM ÖĞRENCİ YURDU</t>
  </si>
  <si>
    <t>ABDURRAHMAN GÜRSES ÖĞRENCİ YURDU</t>
  </si>
  <si>
    <t>BURSA EMİR SULTAN ÖĞRENCİ YURDU</t>
  </si>
  <si>
    <t xml:space="preserve">HALİME HATUN ÖĞRENCİ YURDU </t>
  </si>
  <si>
    <t xml:space="preserve">NİLÜFER HATUN ÖĞRENCİ YURDU </t>
  </si>
  <si>
    <t>MALHUN HATUN ÖĞRENCİ YURDU</t>
  </si>
  <si>
    <t>MEHMED ZAHİD KOTKU ÖĞRENCİ YURDU</t>
  </si>
  <si>
    <t>HASAN BASRİ ÇANTAY ÖĞRENCİ YURDU</t>
  </si>
  <si>
    <t>AYHAN SONGAR ÖĞRENCİ YURDU</t>
  </si>
  <si>
    <t>BANDIRMA ÖĞRENCİ YURDU</t>
  </si>
  <si>
    <t>FATMA ANA ÖĞRENCİ YURDU</t>
  </si>
  <si>
    <t xml:space="preserve">ADİLE SULTAN ÖĞRENCİ YURDU  </t>
  </si>
  <si>
    <t>AHMET BİCAN ÖĞRENCİ YURDU</t>
  </si>
  <si>
    <t>BİGA ÖĞRENCİ YURDU</t>
  </si>
  <si>
    <t>AYDIN-ADNAN MENDERES ÖĞRENCİ YURDU</t>
  </si>
  <si>
    <t xml:space="preserve">GÜLÇİÇEK HATUN ÖĞRENCİ YURDU </t>
  </si>
  <si>
    <t>GEVHERHAN SULTAN ÖĞRENCİ YURDU</t>
  </si>
  <si>
    <t>HACI MUSTAFA EFENDİZADE ÖĞRENCİ YURDU</t>
  </si>
  <si>
    <t>MUĞLA-ORTACA YURDU</t>
  </si>
  <si>
    <t>HALİD BİN VELİD ÖĞRENCİ YURDU</t>
  </si>
  <si>
    <t>BATMAN ERKEK ÖĞRENCİ YURDU</t>
  </si>
  <si>
    <t>BATMAN KIZ ÖĞRENCİ YURDU</t>
  </si>
  <si>
    <t xml:space="preserve">ESMEHAN SULTAN ÖĞRENCİ YURDU </t>
  </si>
  <si>
    <t>MARDİN KIZ ÖĞRENCİ YURDU</t>
  </si>
  <si>
    <t>KASIMİYE ÖĞRENCİ YURDU</t>
  </si>
  <si>
    <t>SEDEFKAR MEHMED AĞA ÖĞRENCİ YURDU</t>
  </si>
  <si>
    <t>KIRKPINAR ÖĞRENCİ YURDU</t>
  </si>
  <si>
    <t>SULTAN II. MURAT ÖĞRENCİ YURDU</t>
  </si>
  <si>
    <t>HAVSA KIZ ÖĞRENCİ YURDU</t>
  </si>
  <si>
    <t>GAZİ EVRENOS ÖĞRENCİ YURDU</t>
  </si>
  <si>
    <t>ŞEMSETTİN SAMİ ÖĞRENCİ YURDU</t>
  </si>
  <si>
    <t>LÜLEBURGAZ ÖĞRENCİ YURDU</t>
  </si>
  <si>
    <t>ÇORLU ERKEK ÖĞRENCİ YURDU</t>
  </si>
  <si>
    <t>MAMA HATUN ÖĞRENCİ YURDU</t>
  </si>
  <si>
    <t>ERZİNCAN ÖĞRENCİ YURDU</t>
  </si>
  <si>
    <t>ERZİNCAN-MENGÜCEK GAZİ OGRENCİ YURDU</t>
  </si>
  <si>
    <t>ERZİNCAN-OTLUKBELİ ÖĞRENCİ YURDU</t>
  </si>
  <si>
    <t>TERZİBABA ÖĞRENCİ YURDU</t>
  </si>
  <si>
    <t>ABDURRAHİM REYHAN ÖĞRENCİ YURDU</t>
  </si>
  <si>
    <t>REFAHİYE SYDV ÖĞRENCİ YURDU</t>
  </si>
  <si>
    <t>ERZURUM-ALVARLI EFE ÖGRENCİ YURDU</t>
  </si>
  <si>
    <t>ERZURUM KIZ ÖĞRENCİ YURDU</t>
  </si>
  <si>
    <t>ERZURUM-İBRAHİM HAKKI ÖĞRENCİ YURDU</t>
  </si>
  <si>
    <t>ERZURUM-NENE HATUN ÖGRENCİ YURDU</t>
  </si>
  <si>
    <t>ABDURRAHMAN GAZİ ÖĞRENCİ YURDU</t>
  </si>
  <si>
    <t>ÖMER NASUHİ BİLMEN ÖĞRENCİ YURDU</t>
  </si>
  <si>
    <t>RABİA HATUN ÖĞRENCİ YURDU</t>
  </si>
  <si>
    <t>YAKUTİYE ÖĞRENCİ YURDU</t>
  </si>
  <si>
    <t>İSPİR-VİLAYETLER HİZ.BİRLİGİ ÖĞRENCİ YURDU</t>
  </si>
  <si>
    <t>DEDE KORKUT ÖĞRENCİ YURDU</t>
  </si>
  <si>
    <t>SELMAN-I FARİSİ ÖĞRENCİ YURDU</t>
  </si>
  <si>
    <t>IĞDIR ÖĞRENCİ YURDU</t>
  </si>
  <si>
    <t>KAFKAS ÖĞRENCİ YURDU</t>
  </si>
  <si>
    <t>RABİATÜ'L ADEVİYYE ÖĞRENCİ YURDU</t>
  </si>
  <si>
    <t>KARS-HASAN HARAKANİ ÖĞRENCİ YURDU</t>
  </si>
  <si>
    <t>ŞEREF TAŞLIOVA ÖĞRENCİ YURDU</t>
  </si>
  <si>
    <t>MURAT ÇOBANOĞLU ÖĞRENCİ YURDU</t>
  </si>
  <si>
    <t>SARIKAMIŞ 100.YIL ŞEHİTLERİ ÖĞRENCİ YURDU</t>
  </si>
  <si>
    <t>İSHAK PAŞA ÖĞRENCİ YURDU</t>
  </si>
  <si>
    <t>ÜMMÜ EYYÜP ÖĞRENCİ YURDU</t>
  </si>
  <si>
    <t xml:space="preserve">EMİNE HATUN ÖĞRENCİ YURDU </t>
  </si>
  <si>
    <t xml:space="preserve">MÜKRİME HATUN ÖĞRENCİ YURDU </t>
  </si>
  <si>
    <t xml:space="preserve">BALA HATUN ÖĞRENCİ YURDU </t>
  </si>
  <si>
    <t>YUNUS EMRE YURDU(ESK.)</t>
  </si>
  <si>
    <t>TAPTUK EMRE ÖĞRENCİ YURDU</t>
  </si>
  <si>
    <t>DURSUN FAKIH ÖĞRENCİ YURDU</t>
  </si>
  <si>
    <t>İBN-İ SİNA ÖĞRENCİ YURDU</t>
  </si>
  <si>
    <t>AFYON-ÇİĞİLTEPE KIZ ÖĞRENCİ YURDU</t>
  </si>
  <si>
    <t xml:space="preserve">MAHFİRUZ HATİCE SULTAN ÖĞRENCİ YURDU </t>
  </si>
  <si>
    <t xml:space="preserve">SAFİYE SULTAN ÖĞRENCİ YURDU </t>
  </si>
  <si>
    <t>AFYON-TINAZTEPE ÖĞRENCİ YURDU</t>
  </si>
  <si>
    <t>DESTİNE HATUN ÖĞRENCİ YURDU</t>
  </si>
  <si>
    <t>KAMİL MİRAS ÖĞRENCİ YURDU</t>
  </si>
  <si>
    <t>ESMA SULTAN ÖĞRENCİ YURDU</t>
  </si>
  <si>
    <t>ŞUHUT ÖĞRENCİ YURDU</t>
  </si>
  <si>
    <t>KÜTAHYA YESEVİ ÖĞRENCİ YURDU</t>
  </si>
  <si>
    <t xml:space="preserve">EMİNE GÜLBAHAR HATUN ÖĞRENCİ YURDU </t>
  </si>
  <si>
    <t>KÜTAHYA-ZAFERTEPE ÖGRENCİ YURDU</t>
  </si>
  <si>
    <t xml:space="preserve">HAYME ANA ÖĞRENCİ YURDU </t>
  </si>
  <si>
    <t>DEVLET HATUN ÖĞRENCİ YURDU</t>
  </si>
  <si>
    <t>TİRİ MÜJGAN SULTAN ÖĞRENCİ YURDU</t>
  </si>
  <si>
    <t>MOLLA FENARİ ÖĞRENCİ YURDU</t>
  </si>
  <si>
    <t>ARSLAN BEY ÖĞRENCİ YURDU</t>
  </si>
  <si>
    <t>ŞEYH EDEBALI  ÖĞRENCİ YURDU</t>
  </si>
  <si>
    <t xml:space="preserve">BİLECİK HALİME HATUN ÖĞRENCİ YURDU </t>
  </si>
  <si>
    <t>ÜMMÜ GÜLSÜM ÖĞRENCİ YURDU</t>
  </si>
  <si>
    <t>ABDULKADİR GEYLANİ ÖĞRENCİ YURDU</t>
  </si>
  <si>
    <t>ABDÜLKADİR GÜLLÜOĞLU ÖĞRENCİ YURDU</t>
  </si>
  <si>
    <t xml:space="preserve">ERDEM BAYAZID ÖĞRENCİ YURDU </t>
  </si>
  <si>
    <t xml:space="preserve">NURİ PAKDİL ÖĞRENCİ YURDU  </t>
  </si>
  <si>
    <t>MİHRİŞAH VALİDE SULTAN ÖĞRENCİ YURDU</t>
  </si>
  <si>
    <t>NAKŞİDİL VALİDE SULTAN ÖĞRENCİ YURDU</t>
  </si>
  <si>
    <t>BİLAL-İ HABEŞİ ÖĞRENCİ YURDU</t>
  </si>
  <si>
    <t>MUHAMMED BEDEVİ ÖĞRENCİ YURDU</t>
  </si>
  <si>
    <t>HARRAN YURDU(Ş.URFA)</t>
  </si>
  <si>
    <t>MEHMET AKİF İNAN ÖĞRENCİ YURDU</t>
  </si>
  <si>
    <t>HACER ANA ÖĞRENCİ YURDU</t>
  </si>
  <si>
    <t>NİĞDE KIZ YURDU(İST.)</t>
  </si>
  <si>
    <t>İYİMAYA ÖĞRENCİ YURDU</t>
  </si>
  <si>
    <t>KAŞGARLI MAHMUT ÖĞRENCİ YURDU</t>
  </si>
  <si>
    <t>YUSUF HAS HACİP ÖĞRENCİ YURDU</t>
  </si>
  <si>
    <t>ŞAH SULTAN ÖĞRENCİ YURDU</t>
  </si>
  <si>
    <t>HAMDİ EFENDİ ÖĞRENCİ YURDU</t>
  </si>
  <si>
    <t xml:space="preserve">GÜLŞAH HATUN  ÖĞRENCİ YURDU </t>
  </si>
  <si>
    <t>MAHPERİ HATUN ÖĞRENCİ YURDU</t>
  </si>
  <si>
    <t>OSMANİYE/KADİRLİ</t>
  </si>
  <si>
    <t>BOLU/SEBEN</t>
  </si>
  <si>
    <t>TERZİOĞLU KIZ ÖĞRENCİ YURDU</t>
  </si>
  <si>
    <t>ADANA/KOZAN</t>
  </si>
  <si>
    <t>TRABZON YURDU</t>
  </si>
  <si>
    <t>OF AŞIKKUTLU ÖĞRENCİ YURDU</t>
  </si>
  <si>
    <t>ADNAN DEMİRTÜRK YURDU</t>
  </si>
  <si>
    <t>GAZİ AYŞE HANIM ÖĞRENCİ YURDU</t>
  </si>
  <si>
    <t>GEREDELİ İSHAK BEY ÖĞRENCİ YURDU</t>
  </si>
  <si>
    <t>TOKAT/ARTOVA</t>
  </si>
  <si>
    <t>HATAY/DÖRTYOL</t>
  </si>
  <si>
    <t>KAPANIŞ TARİHİ</t>
  </si>
  <si>
    <t>AÇIK KALACAK YURT</t>
  </si>
  <si>
    <t>KIZ ÖĞRENCİLER</t>
  </si>
  <si>
    <t>ERKEK ÖĞRENCİLER</t>
  </si>
  <si>
    <t>A BLOK AÇIK</t>
  </si>
  <si>
    <t>AÇIK</t>
  </si>
  <si>
    <t>X</t>
  </si>
  <si>
    <t>C BLOK AÇIK</t>
  </si>
  <si>
    <t>B BLOK AÇIK</t>
  </si>
  <si>
    <t>SOKAĞA ÇIKMA YASAĞI YÜZÜNDEN DEVAM EDEMEYEN ÖĞRENİM DEVAM EDECEĞİNDEN YURTLAR KAPANMAYACAKTIR.</t>
  </si>
  <si>
    <t>B/C BLOK AÇIK</t>
  </si>
  <si>
    <t>D BLOK AÇIK</t>
  </si>
  <si>
    <t>SELAHATTİN EYYUBİ KIZ ÖĞRENCİ YURDU</t>
  </si>
  <si>
    <t>MURAD HÜDAVENDİGAR ÖĞRENCİ YURDU</t>
  </si>
  <si>
    <t>AVŞAR ÖĞRENCİ ÖĞRENCİ YURDU</t>
  </si>
  <si>
    <t xml:space="preserve"> İSTİKLAL ÖĞRENCİ YURDU</t>
  </si>
  <si>
    <t>HÜMA HATUN ÖĞRENCİ YURDU</t>
  </si>
  <si>
    <t>KIZILIRMAK KIZ ÖĞRENCİ YURDU</t>
  </si>
  <si>
    <t>GAZANFER BİLGE ÖĞRENCİ YURDU</t>
  </si>
  <si>
    <t>GEREDE YURDU (KARMA)</t>
  </si>
  <si>
    <t>HACI MEHMET ASTARCI YURDU (KARMA)</t>
  </si>
  <si>
    <t>A/B BLOK AÇIK</t>
  </si>
  <si>
    <t>1 ve 2. KAT AÇIK</t>
  </si>
  <si>
    <t xml:space="preserve">KARACAOĞLAN ERKEK ÖĞRENCİ YURDU </t>
  </si>
  <si>
    <t>OSMANİYE KIZ YURDU</t>
  </si>
  <si>
    <t>C/D BLOK AÇIK</t>
  </si>
  <si>
    <t>A/C BLOK AÇIK</t>
  </si>
  <si>
    <t>AÇIKLAMA</t>
  </si>
  <si>
    <t>08-22 TEMMUZ ARASI AÇIK</t>
  </si>
  <si>
    <t>F BLOK AÇIK</t>
  </si>
  <si>
    <t>ETKİNLİK OLMASI HALİNDE AÇIK</t>
  </si>
  <si>
    <t>HAKKARİ YURDU (ERKEK)</t>
  </si>
  <si>
    <t>AFİFE YURDU (KIZ)</t>
  </si>
  <si>
    <t>D/C BLOK AÇIK</t>
  </si>
  <si>
    <t>D/F BLOK AÇIK</t>
  </si>
  <si>
    <t>1. KAT AÇIK</t>
  </si>
  <si>
    <t>E-F-G-H-I-J-K-L-M-N AÇIK</t>
  </si>
  <si>
    <t>A-B BLOK AÇIK</t>
  </si>
  <si>
    <t>A-B-C BLOK AÇIK</t>
  </si>
  <si>
    <t>Tadilat nedeniyle dönüşümlü olarak tek blok açık kalacak</t>
  </si>
  <si>
    <t>SÜMBÜL BLOK AÇIK</t>
  </si>
  <si>
    <t>E BLOK AÇIK</t>
  </si>
  <si>
    <t>C-D BLOK AÇIK</t>
  </si>
  <si>
    <t>GSB Projeleri için</t>
  </si>
  <si>
    <t>Şırnak Üniversitesi öğrencilerinin telafi eğitimi alacak olması</t>
  </si>
  <si>
    <t>Deprem Güclendirmesi yapılması halinde Sultanhisar Yurdu Cevdet İnci Bloğuna Yönlendirilecektir.</t>
  </si>
  <si>
    <t>Emniyet Personelinin barınması</t>
  </si>
  <si>
    <t>E-F BLOK AÇIK</t>
  </si>
  <si>
    <t>F-G-H BLOK AÇIK</t>
  </si>
  <si>
    <t>GÖLCÜK ÖĞRENCİ YURDU (KARMA YURT)</t>
  </si>
  <si>
    <t>Misafir Gruplar için açık</t>
  </si>
  <si>
    <t>HACI SİNAN ÖĞRENCİ YURDU (KARMA)</t>
  </si>
  <si>
    <t>20-24 TEMMUZ MÜZİK FESTİVALİ</t>
  </si>
  <si>
    <t>A/E BLOK GSB PROJELERİ VE MİSAFİR KURUM PERSONELİ İÇİN AÇIK</t>
  </si>
  <si>
    <t>F BLOK GSB PROJELERİ İÇİN AÇIK</t>
  </si>
  <si>
    <t>İHTİYAÇ OLMASI HALİNDE AÇIK</t>
  </si>
  <si>
    <t xml:space="preserve"> ANA BİNA AÇIK</t>
  </si>
  <si>
    <t>Daire şeklinde olduğundan kız ve erkekler için uygun</t>
  </si>
  <si>
    <t>1. ve 2. katlar açık</t>
  </si>
  <si>
    <t>SPOR KAFİLELERİ İÇİN SABANCI BLOĞU AÇIK</t>
  </si>
  <si>
    <t>Tek blok erkek ve kız girişleri farklı</t>
  </si>
  <si>
    <t>KARMA YURT</t>
  </si>
  <si>
    <t>Öğrenciler, misafirler ve KKK misafirleri</t>
  </si>
  <si>
    <t>1.  kat açık</t>
  </si>
  <si>
    <t>TOKADİ HAYRETTİN YURDU</t>
  </si>
  <si>
    <t>04.07.2016 tarihinden eğitim dönemi açılışına kadar yaz okulu sebebiyle açık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</si>
</sst>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sz val="11"/>
      <color theme="1"/>
      <name val="Times New Roman"/>
      <family val="2"/>
      <charset val="162"/>
    </font>
    <font>
      <sz val="11"/>
      <color theme="1"/>
      <name val="Times New Roman"/>
      <family val="2"/>
      <charset val="162"/>
    </font>
    <font>
      <sz val="10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4"/>
      <name val="Times New Roman"/>
      <family val="1"/>
      <charset val="162"/>
    </font>
    <font>
      <sz val="12"/>
      <name val="Times New Roman"/>
      <family val="1"/>
      <charset val="162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  <font>
      <sz val="11"/>
      <color rgb="FF9C0006"/>
      <name val="Calibri"/>
      <family val="2"/>
      <charset val="162"/>
      <scheme val="minor"/>
    </font>
    <font>
      <sz val="10"/>
      <name val="Arial Tur"/>
    </font>
    <font>
      <b/>
      <sz val="12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9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6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0" fontId="12" fillId="6" borderId="0" applyNumberFormat="0" applyBorder="0" applyAlignment="0" applyProtection="0"/>
    <xf numFmtId="0" fontId="13" fillId="0" borderId="0"/>
    <xf numFmtId="0" fontId="2" fillId="0" borderId="0"/>
    <xf numFmtId="0" fontId="1" fillId="0" borderId="0"/>
  </cellStyleXfs>
  <cellXfs count="11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shrinkToFit="1"/>
    </xf>
    <xf numFmtId="0" fontId="9" fillId="0" borderId="0" xfId="0" applyFont="1" applyBorder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0" borderId="0" xfId="0" applyFont="1"/>
    <xf numFmtId="0" fontId="7" fillId="0" borderId="10" xfId="0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3" fontId="5" fillId="5" borderId="10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0" xfId="5" applyFont="1"/>
    <xf numFmtId="0" fontId="14" fillId="0" borderId="7" xfId="5" applyFont="1" applyBorder="1" applyAlignment="1">
      <alignment horizontal="center" vertical="center"/>
    </xf>
    <xf numFmtId="0" fontId="14" fillId="0" borderId="15" xfId="5" applyFont="1" applyBorder="1" applyAlignment="1">
      <alignment horizontal="center" vertical="center"/>
    </xf>
    <xf numFmtId="0" fontId="14" fillId="0" borderId="16" xfId="5" applyFont="1" applyBorder="1" applyAlignment="1">
      <alignment horizontal="center" vertical="center"/>
    </xf>
    <xf numFmtId="0" fontId="14" fillId="0" borderId="17" xfId="5" applyFont="1" applyBorder="1" applyAlignment="1">
      <alignment horizontal="center" vertical="center"/>
    </xf>
    <xf numFmtId="0" fontId="14" fillId="0" borderId="5" xfId="5" applyFont="1" applyBorder="1" applyAlignment="1">
      <alignment horizontal="center" vertical="center"/>
    </xf>
    <xf numFmtId="0" fontId="15" fillId="0" borderId="18" xfId="5" applyFont="1" applyBorder="1" applyAlignment="1">
      <alignment horizontal="center" vertical="center"/>
    </xf>
    <xf numFmtId="0" fontId="16" fillId="0" borderId="19" xfId="5" applyFont="1" applyBorder="1" applyAlignment="1">
      <alignment horizontal="center" vertical="center"/>
    </xf>
    <xf numFmtId="0" fontId="16" fillId="0" borderId="20" xfId="5" applyFont="1" applyBorder="1" applyAlignment="1">
      <alignment horizontal="center" vertical="center"/>
    </xf>
    <xf numFmtId="0" fontId="15" fillId="0" borderId="21" xfId="5" applyFont="1" applyBorder="1" applyAlignment="1">
      <alignment horizontal="center" vertical="center"/>
    </xf>
    <xf numFmtId="3" fontId="16" fillId="0" borderId="22" xfId="5" applyNumberFormat="1" applyFont="1" applyBorder="1" applyAlignment="1">
      <alignment horizontal="center" vertical="center"/>
    </xf>
    <xf numFmtId="3" fontId="16" fillId="0" borderId="20" xfId="5" applyNumberFormat="1" applyFont="1" applyBorder="1" applyAlignment="1">
      <alignment horizontal="center" vertical="center"/>
    </xf>
    <xf numFmtId="3" fontId="15" fillId="0" borderId="23" xfId="5" applyNumberFormat="1" applyFont="1" applyBorder="1" applyAlignment="1">
      <alignment horizontal="center" vertical="center"/>
    </xf>
    <xf numFmtId="0" fontId="1" fillId="0" borderId="0" xfId="5"/>
    <xf numFmtId="0" fontId="15" fillId="0" borderId="24" xfId="5" applyFont="1" applyBorder="1" applyAlignment="1">
      <alignment horizontal="center" vertical="center"/>
    </xf>
    <xf numFmtId="0" fontId="16" fillId="0" borderId="8" xfId="5" applyFont="1" applyBorder="1" applyAlignment="1">
      <alignment horizontal="center" vertical="center"/>
    </xf>
    <xf numFmtId="0" fontId="16" fillId="0" borderId="10" xfId="5" applyFont="1" applyBorder="1" applyAlignment="1">
      <alignment horizontal="center" vertical="center"/>
    </xf>
    <xf numFmtId="0" fontId="15" fillId="0" borderId="25" xfId="5" applyFont="1" applyBorder="1" applyAlignment="1">
      <alignment horizontal="center" vertical="center"/>
    </xf>
    <xf numFmtId="3" fontId="16" fillId="0" borderId="26" xfId="5" applyNumberFormat="1" applyFont="1" applyBorder="1" applyAlignment="1">
      <alignment horizontal="center" vertical="center"/>
    </xf>
    <xf numFmtId="3" fontId="16" fillId="0" borderId="10" xfId="5" applyNumberFormat="1" applyFont="1" applyBorder="1" applyAlignment="1">
      <alignment horizontal="center" vertical="center"/>
    </xf>
    <xf numFmtId="3" fontId="15" fillId="0" borderId="4" xfId="5" applyNumberFormat="1" applyFont="1" applyBorder="1" applyAlignment="1">
      <alignment horizontal="center" vertical="center"/>
    </xf>
    <xf numFmtId="0" fontId="10" fillId="0" borderId="24" xfId="5" applyFont="1" applyBorder="1" applyAlignment="1">
      <alignment horizontal="center" vertical="center"/>
    </xf>
    <xf numFmtId="0" fontId="15" fillId="0" borderId="27" xfId="5" applyFont="1" applyBorder="1" applyAlignment="1">
      <alignment horizontal="center" vertical="center"/>
    </xf>
    <xf numFmtId="0" fontId="16" fillId="0" borderId="28" xfId="5" applyFont="1" applyBorder="1" applyAlignment="1">
      <alignment horizontal="center" vertical="center"/>
    </xf>
    <xf numFmtId="0" fontId="16" fillId="0" borderId="29" xfId="5" applyFont="1" applyBorder="1" applyAlignment="1">
      <alignment horizontal="center" vertical="center"/>
    </xf>
    <xf numFmtId="0" fontId="15" fillId="0" borderId="30" xfId="5" applyFont="1" applyBorder="1" applyAlignment="1">
      <alignment horizontal="center" vertical="center"/>
    </xf>
    <xf numFmtId="3" fontId="16" fillId="0" borderId="31" xfId="5" applyNumberFormat="1" applyFont="1" applyBorder="1" applyAlignment="1">
      <alignment horizontal="center" vertical="center"/>
    </xf>
    <xf numFmtId="3" fontId="16" fillId="0" borderId="29" xfId="5" applyNumberFormat="1" applyFont="1" applyBorder="1" applyAlignment="1">
      <alignment horizontal="center" vertical="center"/>
    </xf>
    <xf numFmtId="3" fontId="15" fillId="0" borderId="32" xfId="5" applyNumberFormat="1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15" fillId="0" borderId="6" xfId="5" applyFont="1" applyBorder="1" applyAlignment="1">
      <alignment horizontal="center" vertical="center"/>
    </xf>
    <xf numFmtId="0" fontId="15" fillId="0" borderId="33" xfId="5" applyFont="1" applyBorder="1" applyAlignment="1">
      <alignment horizontal="center" vertical="center"/>
    </xf>
    <xf numFmtId="0" fontId="15" fillId="0" borderId="34" xfId="5" applyFont="1" applyBorder="1" applyAlignment="1">
      <alignment horizontal="center" vertical="center"/>
    </xf>
    <xf numFmtId="3" fontId="15" fillId="0" borderId="35" xfId="5" applyNumberFormat="1" applyFont="1" applyBorder="1" applyAlignment="1">
      <alignment horizontal="center" vertical="center"/>
    </xf>
    <xf numFmtId="3" fontId="15" fillId="0" borderId="33" xfId="5" applyNumberFormat="1" applyFont="1" applyBorder="1" applyAlignment="1">
      <alignment horizontal="center" vertical="center"/>
    </xf>
    <xf numFmtId="3" fontId="15" fillId="0" borderId="36" xfId="5" applyNumberFormat="1" applyFont="1" applyBorder="1" applyAlignment="1">
      <alignment horizontal="center" vertical="center"/>
    </xf>
    <xf numFmtId="0" fontId="15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7" borderId="37" xfId="1" applyFont="1" applyFill="1" applyBorder="1"/>
    <xf numFmtId="14" fontId="7" fillId="3" borderId="1" xfId="0" applyNumberFormat="1" applyFont="1" applyFill="1" applyBorder="1" applyAlignment="1">
      <alignment horizontal="center" vertical="center" shrinkToFit="1"/>
    </xf>
    <xf numFmtId="14" fontId="7" fillId="4" borderId="1" xfId="0" applyNumberFormat="1" applyFont="1" applyFill="1" applyBorder="1" applyAlignment="1">
      <alignment horizontal="center" vertical="center" shrinkToFit="1"/>
    </xf>
    <xf numFmtId="14" fontId="7" fillId="4" borderId="2" xfId="0" applyNumberFormat="1" applyFont="1" applyFill="1" applyBorder="1" applyAlignment="1">
      <alignment horizontal="center" vertical="center" shrinkToFit="1"/>
    </xf>
    <xf numFmtId="0" fontId="17" fillId="7" borderId="1" xfId="1" applyFont="1" applyFill="1" applyBorder="1" applyAlignment="1">
      <alignment horizontal="center"/>
    </xf>
    <xf numFmtId="0" fontId="7" fillId="3" borderId="40" xfId="0" applyFont="1" applyFill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shrinkToFit="1"/>
    </xf>
    <xf numFmtId="0" fontId="18" fillId="7" borderId="3" xfId="1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 vertical="center" shrinkToFit="1"/>
    </xf>
    <xf numFmtId="0" fontId="7" fillId="4" borderId="43" xfId="0" applyFont="1" applyFill="1" applyBorder="1" applyAlignment="1">
      <alignment horizontal="center" vertical="center" shrinkToFit="1"/>
    </xf>
    <xf numFmtId="0" fontId="7" fillId="4" borderId="3" xfId="0" applyFont="1" applyFill="1" applyBorder="1" applyAlignment="1">
      <alignment horizontal="center" vertical="center" shrinkToFit="1"/>
    </xf>
    <xf numFmtId="0" fontId="11" fillId="3" borderId="3" xfId="0" applyFont="1" applyFill="1" applyBorder="1" applyAlignment="1">
      <alignment horizontal="center" vertical="center" shrinkToFit="1"/>
    </xf>
    <xf numFmtId="0" fontId="19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 shrinkToFit="1"/>
    </xf>
    <xf numFmtId="0" fontId="19" fillId="4" borderId="0" xfId="0" applyFont="1" applyFill="1" applyBorder="1" applyAlignment="1">
      <alignment horizontal="center" vertical="center" wrapText="1" shrinkToFit="1"/>
    </xf>
    <xf numFmtId="0" fontId="19" fillId="4" borderId="39" xfId="0" applyFont="1" applyFill="1" applyBorder="1" applyAlignment="1">
      <alignment horizontal="center" vertical="center" wrapText="1" shrinkToFit="1"/>
    </xf>
    <xf numFmtId="0" fontId="17" fillId="7" borderId="35" xfId="1" applyFont="1" applyFill="1" applyBorder="1" applyAlignment="1">
      <alignment horizontal="center"/>
    </xf>
    <xf numFmtId="0" fontId="17" fillId="7" borderId="33" xfId="1" applyFont="1" applyFill="1" applyBorder="1" applyAlignment="1">
      <alignment horizontal="center"/>
    </xf>
    <xf numFmtId="0" fontId="17" fillId="7" borderId="36" xfId="1" applyFont="1" applyFill="1" applyBorder="1" applyAlignment="1">
      <alignment horizontal="center"/>
    </xf>
    <xf numFmtId="0" fontId="5" fillId="7" borderId="3" xfId="2" applyFont="1" applyFill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 shrinkToFit="1"/>
    </xf>
    <xf numFmtId="0" fontId="7" fillId="4" borderId="0" xfId="0" applyFont="1" applyFill="1" applyBorder="1" applyAlignment="1">
      <alignment horizontal="center" vertical="center" shrinkToFit="1"/>
    </xf>
    <xf numFmtId="0" fontId="7" fillId="4" borderId="39" xfId="0" applyFont="1" applyFill="1" applyBorder="1" applyAlignment="1">
      <alignment horizontal="center" vertical="center" shrinkToFit="1"/>
    </xf>
    <xf numFmtId="0" fontId="5" fillId="5" borderId="10" xfId="0" applyFont="1" applyFill="1" applyBorder="1" applyAlignment="1">
      <alignment horizontal="center" vertical="center"/>
    </xf>
    <xf numFmtId="0" fontId="14" fillId="0" borderId="11" xfId="5" applyFont="1" applyBorder="1" applyAlignment="1">
      <alignment horizontal="center" vertical="center"/>
    </xf>
    <xf numFmtId="0" fontId="14" fillId="0" borderId="14" xfId="5" applyFont="1" applyBorder="1" applyAlignment="1">
      <alignment horizontal="center" vertical="center"/>
    </xf>
    <xf numFmtId="0" fontId="14" fillId="0" borderId="12" xfId="5" applyFont="1" applyBorder="1" applyAlignment="1">
      <alignment horizontal="center" vertical="center"/>
    </xf>
    <xf numFmtId="0" fontId="14" fillId="0" borderId="9" xfId="5" applyFont="1" applyBorder="1" applyAlignment="1">
      <alignment horizontal="center" vertical="center"/>
    </xf>
    <xf numFmtId="0" fontId="14" fillId="0" borderId="13" xfId="5" applyFont="1" applyBorder="1" applyAlignment="1">
      <alignment horizontal="center" vertical="center"/>
    </xf>
  </cellXfs>
  <cellStyles count="6">
    <cellStyle name="Kötü" xfId="2" builtinId="27"/>
    <cellStyle name="Normal" xfId="0" builtinId="0"/>
    <cellStyle name="Normal 10" xfId="3"/>
    <cellStyle name="Normal 2" xfId="1"/>
    <cellStyle name="Normal 3" xfId="4"/>
    <cellStyle name="Normal 3 2" xfId="5"/>
  </cellStyles>
  <dxfs count="0"/>
  <tableStyles count="0" defaultTableStyle="TableStyleMedium2" defaultPivotStyle="PivotStyleLight16"/>
  <colors>
    <mruColors>
      <color rgb="FF005DA2"/>
      <color rgb="FFDCE6F1"/>
      <color rgb="FFF2DCDB"/>
      <color rgb="FFDA9694"/>
      <color rgb="FFE6B8B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>
    <pageSetUpPr fitToPage="1"/>
  </sheetPr>
  <dimension ref="A1:H602"/>
  <sheetViews>
    <sheetView tabSelected="1" topLeftCell="A480" zoomScale="80" zoomScaleNormal="80" workbookViewId="0">
      <selection activeCell="H98" sqref="H98"/>
    </sheetView>
  </sheetViews>
  <sheetFormatPr defaultRowHeight="20.100000000000001" customHeight="1" x14ac:dyDescent="0.2"/>
  <cols>
    <col min="1" max="1" width="20.140625" style="3" customWidth="1"/>
    <col min="2" max="2" width="18.5703125" style="3" customWidth="1"/>
    <col min="3" max="3" width="56.5703125" style="4" customWidth="1"/>
    <col min="4" max="4" width="11" style="4" customWidth="1"/>
    <col min="5" max="5" width="20.7109375" style="1" customWidth="1"/>
    <col min="6" max="6" width="0.5703125" style="1" hidden="1" customWidth="1"/>
    <col min="7" max="7" width="20.7109375" style="1" customWidth="1"/>
    <col min="8" max="8" width="33" style="3" customWidth="1"/>
    <col min="9" max="16384" width="9.140625" style="1"/>
  </cols>
  <sheetData>
    <row r="1" spans="1:8" ht="19.5" customHeight="1" thickBot="1" x14ac:dyDescent="0.3">
      <c r="A1" s="94" t="s">
        <v>5</v>
      </c>
      <c r="B1" s="94" t="s">
        <v>6</v>
      </c>
      <c r="C1" s="102" t="s">
        <v>0</v>
      </c>
      <c r="D1" s="101" t="s">
        <v>1117</v>
      </c>
      <c r="E1" s="98" t="s">
        <v>1118</v>
      </c>
      <c r="F1" s="99"/>
      <c r="G1" s="100"/>
      <c r="H1" s="94" t="s">
        <v>1144</v>
      </c>
    </row>
    <row r="2" spans="1:8" ht="21" customHeight="1" thickBot="1" x14ac:dyDescent="0.3">
      <c r="A2" s="94"/>
      <c r="B2" s="94"/>
      <c r="C2" s="102"/>
      <c r="D2" s="101"/>
      <c r="E2" s="78" t="s">
        <v>1119</v>
      </c>
      <c r="F2" s="74"/>
      <c r="G2" s="83" t="s">
        <v>1120</v>
      </c>
      <c r="H2" s="94"/>
    </row>
    <row r="3" spans="1:8" ht="17.100000000000001" customHeight="1" thickBot="1" x14ac:dyDescent="0.25">
      <c r="A3" s="5" t="s">
        <v>4</v>
      </c>
      <c r="B3" s="5" t="s">
        <v>7</v>
      </c>
      <c r="C3" s="11" t="s">
        <v>223</v>
      </c>
      <c r="D3" s="75">
        <v>42552</v>
      </c>
      <c r="E3" s="11" t="s">
        <v>1123</v>
      </c>
      <c r="G3" s="82" t="s">
        <v>1121</v>
      </c>
      <c r="H3" s="5"/>
    </row>
    <row r="4" spans="1:8" ht="17.100000000000001" customHeight="1" thickBot="1" x14ac:dyDescent="0.25">
      <c r="A4" s="5" t="s">
        <v>4</v>
      </c>
      <c r="B4" s="5" t="s">
        <v>7</v>
      </c>
      <c r="C4" s="11" t="s">
        <v>946</v>
      </c>
      <c r="D4" s="75">
        <v>42552</v>
      </c>
      <c r="E4" s="11" t="s">
        <v>1123</v>
      </c>
      <c r="G4" s="82" t="s">
        <v>1123</v>
      </c>
      <c r="H4" s="5"/>
    </row>
    <row r="5" spans="1:8" ht="17.100000000000001" customHeight="1" thickBot="1" x14ac:dyDescent="0.25">
      <c r="A5" s="5" t="s">
        <v>4</v>
      </c>
      <c r="B5" s="5" t="s">
        <v>7</v>
      </c>
      <c r="C5" s="11" t="s">
        <v>945</v>
      </c>
      <c r="D5" s="75">
        <v>42552</v>
      </c>
      <c r="E5" s="11" t="s">
        <v>1123</v>
      </c>
      <c r="G5" s="82" t="s">
        <v>1123</v>
      </c>
      <c r="H5" s="5"/>
    </row>
    <row r="6" spans="1:8" ht="17.100000000000001" customHeight="1" thickBot="1" x14ac:dyDescent="0.25">
      <c r="A6" s="5" t="s">
        <v>4</v>
      </c>
      <c r="B6" s="5" t="s">
        <v>7</v>
      </c>
      <c r="C6" s="11" t="s">
        <v>224</v>
      </c>
      <c r="D6" s="75">
        <v>42552</v>
      </c>
      <c r="E6" s="11" t="s">
        <v>1123</v>
      </c>
      <c r="G6" s="82" t="s">
        <v>1123</v>
      </c>
      <c r="H6" s="5"/>
    </row>
    <row r="7" spans="1:8" ht="17.100000000000001" customHeight="1" thickBot="1" x14ac:dyDescent="0.25">
      <c r="A7" s="5" t="s">
        <v>4</v>
      </c>
      <c r="B7" s="5" t="s">
        <v>7</v>
      </c>
      <c r="C7" s="11" t="s">
        <v>947</v>
      </c>
      <c r="D7" s="75">
        <v>42552</v>
      </c>
      <c r="E7" s="79" t="s">
        <v>1121</v>
      </c>
      <c r="G7" s="84" t="s">
        <v>1123</v>
      </c>
      <c r="H7" s="5"/>
    </row>
    <row r="8" spans="1:8" ht="17.100000000000001" customHeight="1" thickBot="1" x14ac:dyDescent="0.25">
      <c r="A8" s="5" t="s">
        <v>4</v>
      </c>
      <c r="B8" s="5" t="s">
        <v>8</v>
      </c>
      <c r="C8" s="11" t="s">
        <v>227</v>
      </c>
      <c r="D8" s="75">
        <v>42566</v>
      </c>
      <c r="E8" s="11" t="s">
        <v>1123</v>
      </c>
      <c r="F8" s="92"/>
      <c r="G8" s="11" t="s">
        <v>1123</v>
      </c>
      <c r="H8" s="5"/>
    </row>
    <row r="9" spans="1:8" ht="17.100000000000001" customHeight="1" thickBot="1" x14ac:dyDescent="0.25">
      <c r="A9" s="18" t="s">
        <v>160</v>
      </c>
      <c r="B9" s="18" t="s">
        <v>7</v>
      </c>
      <c r="C9" s="19" t="s">
        <v>414</v>
      </c>
      <c r="D9" s="77">
        <v>42548</v>
      </c>
      <c r="E9" s="19" t="s">
        <v>1128</v>
      </c>
      <c r="F9" s="91"/>
      <c r="G9" s="19" t="s">
        <v>1123</v>
      </c>
      <c r="H9" s="18"/>
    </row>
    <row r="10" spans="1:8" ht="17.100000000000001" customHeight="1" thickBot="1" x14ac:dyDescent="0.25">
      <c r="A10" s="6" t="s">
        <v>160</v>
      </c>
      <c r="B10" s="6" t="s">
        <v>7</v>
      </c>
      <c r="C10" s="7" t="s">
        <v>566</v>
      </c>
      <c r="D10" s="76">
        <v>42548</v>
      </c>
      <c r="E10" s="19" t="s">
        <v>1123</v>
      </c>
      <c r="G10" s="85" t="s">
        <v>1125</v>
      </c>
      <c r="H10" s="6"/>
    </row>
    <row r="11" spans="1:8" ht="17.100000000000001" customHeight="1" thickBot="1" x14ac:dyDescent="0.25">
      <c r="A11" s="6" t="s">
        <v>160</v>
      </c>
      <c r="B11" s="6" t="s">
        <v>7</v>
      </c>
      <c r="C11" s="7" t="s">
        <v>869</v>
      </c>
      <c r="D11" s="77">
        <v>42548</v>
      </c>
      <c r="E11" s="7" t="s">
        <v>1123</v>
      </c>
      <c r="G11" s="86" t="s">
        <v>1123</v>
      </c>
      <c r="H11" s="6"/>
    </row>
    <row r="12" spans="1:8" ht="17.100000000000001" customHeight="1" thickBot="1" x14ac:dyDescent="0.25">
      <c r="A12" s="6" t="s">
        <v>160</v>
      </c>
      <c r="B12" s="6" t="s">
        <v>161</v>
      </c>
      <c r="C12" s="7" t="s">
        <v>416</v>
      </c>
      <c r="D12" s="76">
        <v>42548</v>
      </c>
      <c r="E12" s="7" t="s">
        <v>1123</v>
      </c>
      <c r="G12" s="86" t="s">
        <v>1123</v>
      </c>
      <c r="H12" s="6"/>
    </row>
    <row r="13" spans="1:8" ht="17.100000000000001" customHeight="1" thickBot="1" x14ac:dyDescent="0.25">
      <c r="A13" s="6" t="s">
        <v>160</v>
      </c>
      <c r="B13" s="6" t="s">
        <v>162</v>
      </c>
      <c r="C13" s="7" t="s">
        <v>419</v>
      </c>
      <c r="D13" s="77">
        <v>42548</v>
      </c>
      <c r="E13" s="7" t="s">
        <v>1123</v>
      </c>
      <c r="G13" s="86" t="s">
        <v>1123</v>
      </c>
      <c r="H13" s="6"/>
    </row>
    <row r="14" spans="1:8" ht="17.100000000000001" customHeight="1" thickBot="1" x14ac:dyDescent="0.25">
      <c r="A14" s="11" t="s">
        <v>549</v>
      </c>
      <c r="B14" s="5" t="s">
        <v>7</v>
      </c>
      <c r="C14" s="11" t="s">
        <v>330</v>
      </c>
      <c r="D14" s="75">
        <v>42548</v>
      </c>
      <c r="E14" s="11" t="s">
        <v>1123</v>
      </c>
      <c r="G14" s="82" t="s">
        <v>1123</v>
      </c>
      <c r="H14" s="5"/>
    </row>
    <row r="15" spans="1:8" ht="17.100000000000001" customHeight="1" thickBot="1" x14ac:dyDescent="0.25">
      <c r="A15" s="11" t="s">
        <v>549</v>
      </c>
      <c r="B15" s="5" t="s">
        <v>7</v>
      </c>
      <c r="C15" s="11" t="s">
        <v>1068</v>
      </c>
      <c r="D15" s="75">
        <v>42548</v>
      </c>
      <c r="E15" s="11" t="s">
        <v>1122</v>
      </c>
      <c r="G15" s="82" t="s">
        <v>1123</v>
      </c>
      <c r="H15" s="5"/>
    </row>
    <row r="16" spans="1:8" s="2" customFormat="1" ht="17.100000000000001" customHeight="1" thickBot="1" x14ac:dyDescent="0.25">
      <c r="A16" s="11" t="s">
        <v>549</v>
      </c>
      <c r="B16" s="5" t="s">
        <v>7</v>
      </c>
      <c r="C16" s="11" t="s">
        <v>1069</v>
      </c>
      <c r="D16" s="75">
        <v>42548</v>
      </c>
      <c r="E16" s="11" t="s">
        <v>1123</v>
      </c>
      <c r="F16" s="1"/>
      <c r="G16" s="82" t="s">
        <v>1123</v>
      </c>
      <c r="H16" s="5"/>
    </row>
    <row r="17" spans="1:8" s="2" customFormat="1" ht="17.100000000000001" customHeight="1" thickBot="1" x14ac:dyDescent="0.25">
      <c r="A17" s="11" t="s">
        <v>549</v>
      </c>
      <c r="B17" s="5" t="s">
        <v>7</v>
      </c>
      <c r="C17" s="11" t="s">
        <v>1070</v>
      </c>
      <c r="D17" s="75">
        <v>42548</v>
      </c>
      <c r="E17" s="11" t="s">
        <v>1123</v>
      </c>
      <c r="F17" s="1"/>
      <c r="G17" s="82" t="s">
        <v>1123</v>
      </c>
      <c r="H17" s="5"/>
    </row>
    <row r="18" spans="1:8" ht="17.100000000000001" customHeight="1" thickBot="1" x14ac:dyDescent="0.25">
      <c r="A18" s="11" t="s">
        <v>549</v>
      </c>
      <c r="B18" s="5" t="s">
        <v>7</v>
      </c>
      <c r="C18" s="11" t="s">
        <v>1071</v>
      </c>
      <c r="D18" s="75">
        <v>42548</v>
      </c>
      <c r="E18" s="11" t="s">
        <v>1123</v>
      </c>
      <c r="G18" s="82" t="s">
        <v>1123</v>
      </c>
      <c r="H18" s="5"/>
    </row>
    <row r="19" spans="1:8" ht="17.100000000000001" customHeight="1" thickBot="1" x14ac:dyDescent="0.25">
      <c r="A19" s="11" t="s">
        <v>549</v>
      </c>
      <c r="B19" s="5" t="s">
        <v>7</v>
      </c>
      <c r="C19" s="11" t="s">
        <v>1072</v>
      </c>
      <c r="D19" s="75">
        <v>42548</v>
      </c>
      <c r="E19" s="11" t="s">
        <v>1123</v>
      </c>
      <c r="G19" s="82" t="s">
        <v>1123</v>
      </c>
      <c r="H19" s="5"/>
    </row>
    <row r="20" spans="1:8" ht="17.100000000000001" customHeight="1" thickBot="1" x14ac:dyDescent="0.25">
      <c r="A20" s="11" t="s">
        <v>549</v>
      </c>
      <c r="B20" s="5" t="s">
        <v>7</v>
      </c>
      <c r="C20" s="11" t="s">
        <v>1073</v>
      </c>
      <c r="D20" s="75">
        <v>42548</v>
      </c>
      <c r="E20" s="11" t="s">
        <v>1123</v>
      </c>
      <c r="G20" s="82" t="s">
        <v>1122</v>
      </c>
      <c r="H20" s="5"/>
    </row>
    <row r="21" spans="1:8" ht="17.100000000000001" customHeight="1" thickBot="1" x14ac:dyDescent="0.25">
      <c r="A21" s="11" t="s">
        <v>549</v>
      </c>
      <c r="B21" s="5" t="s">
        <v>104</v>
      </c>
      <c r="C21" s="11" t="s">
        <v>331</v>
      </c>
      <c r="D21" s="75">
        <v>42547</v>
      </c>
      <c r="E21" s="11" t="s">
        <v>1123</v>
      </c>
      <c r="G21" s="82" t="s">
        <v>1123</v>
      </c>
      <c r="H21" s="5"/>
    </row>
    <row r="22" spans="1:8" s="2" customFormat="1" ht="17.100000000000001" customHeight="1" thickBot="1" x14ac:dyDescent="0.25">
      <c r="A22" s="11" t="s">
        <v>549</v>
      </c>
      <c r="B22" s="5" t="s">
        <v>895</v>
      </c>
      <c r="C22" s="11" t="s">
        <v>1074</v>
      </c>
      <c r="D22" s="75">
        <v>42551</v>
      </c>
      <c r="E22" s="11" t="s">
        <v>1123</v>
      </c>
      <c r="F22" s="1"/>
      <c r="G22" s="82" t="s">
        <v>1123</v>
      </c>
      <c r="H22" s="5"/>
    </row>
    <row r="23" spans="1:8" ht="17.100000000000001" customHeight="1" thickBot="1" x14ac:dyDescent="0.25">
      <c r="A23" s="11" t="s">
        <v>549</v>
      </c>
      <c r="B23" s="5" t="s">
        <v>105</v>
      </c>
      <c r="C23" s="11" t="s">
        <v>333</v>
      </c>
      <c r="D23" s="75">
        <v>42545</v>
      </c>
      <c r="E23" s="11" t="s">
        <v>1123</v>
      </c>
      <c r="G23" s="82" t="s">
        <v>1123</v>
      </c>
      <c r="H23" s="5"/>
    </row>
    <row r="24" spans="1:8" ht="17.100000000000001" customHeight="1" thickBot="1" x14ac:dyDescent="0.25">
      <c r="A24" s="11" t="s">
        <v>549</v>
      </c>
      <c r="B24" s="5" t="s">
        <v>106</v>
      </c>
      <c r="C24" s="11" t="s">
        <v>334</v>
      </c>
      <c r="D24" s="75">
        <v>42548</v>
      </c>
      <c r="E24" s="11" t="s">
        <v>1123</v>
      </c>
      <c r="G24" s="82" t="s">
        <v>1123</v>
      </c>
      <c r="H24" s="5"/>
    </row>
    <row r="25" spans="1:8" ht="17.100000000000001" customHeight="1" thickBot="1" x14ac:dyDescent="0.25">
      <c r="A25" s="11" t="s">
        <v>549</v>
      </c>
      <c r="B25" s="5" t="s">
        <v>106</v>
      </c>
      <c r="C25" s="11" t="s">
        <v>335</v>
      </c>
      <c r="D25" s="75">
        <v>42548</v>
      </c>
      <c r="E25" s="11" t="s">
        <v>1123</v>
      </c>
      <c r="G25" s="82" t="s">
        <v>1123</v>
      </c>
      <c r="H25" s="5"/>
    </row>
    <row r="26" spans="1:8" s="2" customFormat="1" ht="17.100000000000001" customHeight="1" thickBot="1" x14ac:dyDescent="0.25">
      <c r="A26" s="11" t="s">
        <v>549</v>
      </c>
      <c r="B26" s="5" t="s">
        <v>520</v>
      </c>
      <c r="C26" s="11" t="s">
        <v>1075</v>
      </c>
      <c r="D26" s="75">
        <v>42548</v>
      </c>
      <c r="E26" s="11" t="s">
        <v>1123</v>
      </c>
      <c r="F26" s="1"/>
      <c r="G26" s="82" t="s">
        <v>1123</v>
      </c>
      <c r="H26" s="5"/>
    </row>
    <row r="27" spans="1:8" s="2" customFormat="1" ht="17.100000000000001" customHeight="1" thickBot="1" x14ac:dyDescent="0.25">
      <c r="A27" s="6" t="s">
        <v>92</v>
      </c>
      <c r="B27" s="6" t="s">
        <v>7</v>
      </c>
      <c r="C27" s="7" t="s">
        <v>538</v>
      </c>
      <c r="D27" s="76">
        <v>42554</v>
      </c>
      <c r="E27" s="7" t="s">
        <v>1123</v>
      </c>
      <c r="F27" s="1"/>
      <c r="G27" s="86" t="s">
        <v>1123</v>
      </c>
      <c r="H27" s="6"/>
    </row>
    <row r="28" spans="1:8" ht="17.100000000000001" customHeight="1" thickBot="1" x14ac:dyDescent="0.25">
      <c r="A28" s="6" t="s">
        <v>92</v>
      </c>
      <c r="B28" s="6" t="s">
        <v>7</v>
      </c>
      <c r="C28" s="7" t="s">
        <v>557</v>
      </c>
      <c r="D28" s="76">
        <v>42554</v>
      </c>
      <c r="E28" s="7" t="s">
        <v>1123</v>
      </c>
      <c r="G28" s="86" t="s">
        <v>1123</v>
      </c>
      <c r="H28" s="6"/>
    </row>
    <row r="29" spans="1:8" s="2" customFormat="1" ht="17.100000000000001" customHeight="1" thickBot="1" x14ac:dyDescent="0.25">
      <c r="A29" s="6" t="s">
        <v>92</v>
      </c>
      <c r="B29" s="6" t="s">
        <v>7</v>
      </c>
      <c r="C29" s="7" t="s">
        <v>1059</v>
      </c>
      <c r="D29" s="76">
        <v>42554</v>
      </c>
      <c r="E29" s="7" t="s">
        <v>1123</v>
      </c>
      <c r="F29" s="1"/>
      <c r="G29" s="86" t="s">
        <v>1123</v>
      </c>
      <c r="H29" s="6"/>
    </row>
    <row r="30" spans="1:8" ht="17.100000000000001" customHeight="1" thickBot="1" x14ac:dyDescent="0.25">
      <c r="A30" s="6" t="s">
        <v>92</v>
      </c>
      <c r="B30" s="6" t="s">
        <v>7</v>
      </c>
      <c r="C30" s="7" t="s">
        <v>565</v>
      </c>
      <c r="D30" s="76">
        <v>42554</v>
      </c>
      <c r="E30" s="7" t="s">
        <v>1123</v>
      </c>
      <c r="G30" s="86" t="s">
        <v>1125</v>
      </c>
      <c r="H30" s="6"/>
    </row>
    <row r="31" spans="1:8" s="2" customFormat="1" ht="17.100000000000001" customHeight="1" thickBot="1" x14ac:dyDescent="0.25">
      <c r="A31" s="6" t="s">
        <v>92</v>
      </c>
      <c r="B31" s="6" t="s">
        <v>7</v>
      </c>
      <c r="C31" s="7" t="s">
        <v>1060</v>
      </c>
      <c r="D31" s="76">
        <v>42554</v>
      </c>
      <c r="E31" s="7" t="s">
        <v>1121</v>
      </c>
      <c r="F31" s="1"/>
      <c r="G31" s="86" t="s">
        <v>1123</v>
      </c>
      <c r="H31" s="6"/>
    </row>
    <row r="32" spans="1:8" s="2" customFormat="1" ht="17.100000000000001" customHeight="1" thickBot="1" x14ac:dyDescent="0.25">
      <c r="A32" s="5" t="s">
        <v>154</v>
      </c>
      <c r="B32" s="5" t="s">
        <v>7</v>
      </c>
      <c r="C32" s="11" t="s">
        <v>401</v>
      </c>
      <c r="D32" s="75">
        <v>42552</v>
      </c>
      <c r="E32" s="11" t="s">
        <v>1123</v>
      </c>
      <c r="F32" s="1"/>
      <c r="G32" s="82" t="s">
        <v>1121</v>
      </c>
      <c r="H32" s="5"/>
    </row>
    <row r="33" spans="1:8" s="2" customFormat="1" ht="17.100000000000001" customHeight="1" thickBot="1" x14ac:dyDescent="0.25">
      <c r="A33" s="5" t="s">
        <v>154</v>
      </c>
      <c r="B33" s="5" t="s">
        <v>7</v>
      </c>
      <c r="C33" s="11" t="s">
        <v>402</v>
      </c>
      <c r="D33" s="75">
        <v>42552</v>
      </c>
      <c r="E33" s="11" t="s">
        <v>1123</v>
      </c>
      <c r="F33" s="1"/>
      <c r="G33" s="82" t="s">
        <v>1123</v>
      </c>
      <c r="H33" s="5"/>
    </row>
    <row r="34" spans="1:8" ht="17.100000000000001" customHeight="1" thickBot="1" x14ac:dyDescent="0.25">
      <c r="A34" s="5" t="s">
        <v>154</v>
      </c>
      <c r="B34" s="5" t="s">
        <v>7</v>
      </c>
      <c r="C34" s="11" t="s">
        <v>1104</v>
      </c>
      <c r="D34" s="75">
        <v>42552</v>
      </c>
      <c r="E34" s="11" t="s">
        <v>1121</v>
      </c>
      <c r="G34" s="82" t="s">
        <v>1123</v>
      </c>
      <c r="H34" s="5"/>
    </row>
    <row r="35" spans="1:8" ht="17.100000000000001" customHeight="1" thickBot="1" x14ac:dyDescent="0.25">
      <c r="A35" s="5" t="s">
        <v>154</v>
      </c>
      <c r="B35" s="5" t="s">
        <v>7</v>
      </c>
      <c r="C35" s="11" t="s">
        <v>1105</v>
      </c>
      <c r="D35" s="75">
        <v>42552</v>
      </c>
      <c r="E35" s="11" t="s">
        <v>1123</v>
      </c>
      <c r="G35" s="82" t="s">
        <v>1123</v>
      </c>
      <c r="H35" s="5"/>
    </row>
    <row r="36" spans="1:8" ht="17.100000000000001" customHeight="1" thickBot="1" x14ac:dyDescent="0.25">
      <c r="A36" s="5" t="s">
        <v>154</v>
      </c>
      <c r="B36" s="5" t="s">
        <v>7</v>
      </c>
      <c r="C36" s="11" t="s">
        <v>564</v>
      </c>
      <c r="D36" s="75">
        <v>42552</v>
      </c>
      <c r="E36" s="11" t="s">
        <v>1123</v>
      </c>
      <c r="G36" s="82" t="s">
        <v>1123</v>
      </c>
      <c r="H36" s="5"/>
    </row>
    <row r="37" spans="1:8" ht="17.100000000000001" customHeight="1" thickBot="1" x14ac:dyDescent="0.25">
      <c r="A37" s="5" t="s">
        <v>154</v>
      </c>
      <c r="B37" s="5" t="s">
        <v>155</v>
      </c>
      <c r="C37" s="11" t="s">
        <v>410</v>
      </c>
      <c r="D37" s="75">
        <v>42552</v>
      </c>
      <c r="E37" s="11" t="s">
        <v>1123</v>
      </c>
      <c r="G37" s="82" t="s">
        <v>1123</v>
      </c>
      <c r="H37" s="5"/>
    </row>
    <row r="38" spans="1:8" ht="17.100000000000001" customHeight="1" thickBot="1" x14ac:dyDescent="0.25">
      <c r="A38" s="6" t="s">
        <v>169</v>
      </c>
      <c r="B38" s="6" t="s">
        <v>7</v>
      </c>
      <c r="C38" s="7" t="s">
        <v>424</v>
      </c>
      <c r="D38" s="76">
        <v>42551</v>
      </c>
      <c r="E38" s="7" t="s">
        <v>1123</v>
      </c>
      <c r="G38" s="86" t="s">
        <v>1125</v>
      </c>
      <c r="H38" s="6"/>
    </row>
    <row r="39" spans="1:8" ht="17.100000000000001" customHeight="1" thickBot="1" x14ac:dyDescent="0.25">
      <c r="A39" s="6" t="s">
        <v>169</v>
      </c>
      <c r="B39" s="6" t="s">
        <v>7</v>
      </c>
      <c r="C39" s="7" t="s">
        <v>425</v>
      </c>
      <c r="D39" s="76">
        <v>42551</v>
      </c>
      <c r="E39" s="7" t="s">
        <v>1123</v>
      </c>
      <c r="G39" s="86" t="s">
        <v>1123</v>
      </c>
      <c r="H39" s="6"/>
    </row>
    <row r="40" spans="1:8" ht="17.100000000000001" customHeight="1" thickBot="1" x14ac:dyDescent="0.25">
      <c r="A40" s="6" t="s">
        <v>169</v>
      </c>
      <c r="B40" s="6" t="s">
        <v>7</v>
      </c>
      <c r="C40" s="7" t="s">
        <v>567</v>
      </c>
      <c r="D40" s="76">
        <v>42551</v>
      </c>
      <c r="E40" s="7" t="s">
        <v>1142</v>
      </c>
      <c r="G40" s="86" t="s">
        <v>1123</v>
      </c>
      <c r="H40" s="6"/>
    </row>
    <row r="41" spans="1:8" ht="17.25" customHeight="1" thickBot="1" x14ac:dyDescent="0.25">
      <c r="A41" s="6" t="s">
        <v>169</v>
      </c>
      <c r="B41" s="6" t="s">
        <v>170</v>
      </c>
      <c r="C41" s="7" t="s">
        <v>431</v>
      </c>
      <c r="D41" s="76">
        <v>42551</v>
      </c>
      <c r="E41" s="7" t="s">
        <v>1123</v>
      </c>
      <c r="G41" s="86" t="s">
        <v>1123</v>
      </c>
      <c r="H41" s="6"/>
    </row>
    <row r="42" spans="1:8" ht="17.100000000000001" customHeight="1" thickBot="1" x14ac:dyDescent="0.25">
      <c r="A42" s="5" t="s">
        <v>17</v>
      </c>
      <c r="B42" s="5" t="s">
        <v>7</v>
      </c>
      <c r="C42" s="11" t="s">
        <v>961</v>
      </c>
      <c r="D42" s="75">
        <v>42551</v>
      </c>
      <c r="E42" s="11" t="s">
        <v>1123</v>
      </c>
      <c r="G42" s="82" t="s">
        <v>1123</v>
      </c>
      <c r="H42" s="5"/>
    </row>
    <row r="43" spans="1:8" ht="17.100000000000001" customHeight="1" thickBot="1" x14ac:dyDescent="0.25">
      <c r="A43" s="5" t="s">
        <v>17</v>
      </c>
      <c r="B43" s="5" t="s">
        <v>7</v>
      </c>
      <c r="C43" s="11" t="s">
        <v>235</v>
      </c>
      <c r="D43" s="75">
        <v>42551</v>
      </c>
      <c r="E43" s="11" t="s">
        <v>1123</v>
      </c>
      <c r="G43" s="82" t="s">
        <v>1123</v>
      </c>
      <c r="H43" s="5"/>
    </row>
    <row r="44" spans="1:8" ht="17.100000000000001" customHeight="1" thickBot="1" x14ac:dyDescent="0.25">
      <c r="A44" s="5" t="s">
        <v>17</v>
      </c>
      <c r="B44" s="5" t="s">
        <v>7</v>
      </c>
      <c r="C44" s="11" t="s">
        <v>236</v>
      </c>
      <c r="D44" s="75">
        <v>42551</v>
      </c>
      <c r="E44" s="11" t="s">
        <v>1123</v>
      </c>
      <c r="G44" s="82" t="s">
        <v>1123</v>
      </c>
      <c r="H44" s="5"/>
    </row>
    <row r="45" spans="1:8" ht="17.100000000000001" customHeight="1" thickBot="1" x14ac:dyDescent="0.25">
      <c r="A45" s="5" t="s">
        <v>17</v>
      </c>
      <c r="B45" s="5" t="s">
        <v>7</v>
      </c>
      <c r="C45" s="11" t="s">
        <v>237</v>
      </c>
      <c r="D45" s="75">
        <v>42551</v>
      </c>
      <c r="E45" s="11" t="s">
        <v>1123</v>
      </c>
      <c r="G45" s="82" t="s">
        <v>1123</v>
      </c>
      <c r="H45" s="5"/>
    </row>
    <row r="46" spans="1:8" ht="17.100000000000001" customHeight="1" thickBot="1" x14ac:dyDescent="0.25">
      <c r="A46" s="5" t="s">
        <v>17</v>
      </c>
      <c r="B46" s="5" t="s">
        <v>7</v>
      </c>
      <c r="C46" s="11" t="s">
        <v>238</v>
      </c>
      <c r="D46" s="75">
        <v>42551</v>
      </c>
      <c r="E46" s="11" t="s">
        <v>1123</v>
      </c>
      <c r="G46" s="82" t="s">
        <v>1123</v>
      </c>
      <c r="H46" s="5"/>
    </row>
    <row r="47" spans="1:8" ht="17.100000000000001" customHeight="1" thickBot="1" x14ac:dyDescent="0.25">
      <c r="A47" s="5" t="s">
        <v>17</v>
      </c>
      <c r="B47" s="5" t="s">
        <v>7</v>
      </c>
      <c r="C47" s="11" t="s">
        <v>239</v>
      </c>
      <c r="D47" s="75">
        <v>42551</v>
      </c>
      <c r="E47" s="11" t="s">
        <v>1123</v>
      </c>
      <c r="G47" s="82" t="s">
        <v>1123</v>
      </c>
      <c r="H47" s="5"/>
    </row>
    <row r="48" spans="1:8" ht="17.100000000000001" customHeight="1" thickBot="1" x14ac:dyDescent="0.25">
      <c r="A48" s="5" t="s">
        <v>17</v>
      </c>
      <c r="B48" s="5" t="s">
        <v>7</v>
      </c>
      <c r="C48" s="11" t="s">
        <v>240</v>
      </c>
      <c r="D48" s="75">
        <v>42551</v>
      </c>
      <c r="E48" s="11" t="s">
        <v>1123</v>
      </c>
      <c r="G48" s="82" t="s">
        <v>1123</v>
      </c>
      <c r="H48" s="5"/>
    </row>
    <row r="49" spans="1:8" ht="17.100000000000001" customHeight="1" thickBot="1" x14ac:dyDescent="0.25">
      <c r="A49" s="5" t="s">
        <v>17</v>
      </c>
      <c r="B49" s="5" t="s">
        <v>7</v>
      </c>
      <c r="C49" s="11" t="s">
        <v>241</v>
      </c>
      <c r="D49" s="75">
        <v>42551</v>
      </c>
      <c r="E49" s="11" t="s">
        <v>1123</v>
      </c>
      <c r="G49" s="82" t="s">
        <v>1123</v>
      </c>
      <c r="H49" s="5"/>
    </row>
    <row r="50" spans="1:8" ht="30.75" customHeight="1" thickBot="1" x14ac:dyDescent="0.25">
      <c r="A50" s="5" t="s">
        <v>17</v>
      </c>
      <c r="B50" s="5" t="s">
        <v>7</v>
      </c>
      <c r="C50" s="11" t="s">
        <v>936</v>
      </c>
      <c r="D50" s="75">
        <v>42551</v>
      </c>
      <c r="E50" s="11" t="s">
        <v>1122</v>
      </c>
      <c r="G50" s="82" t="s">
        <v>1123</v>
      </c>
      <c r="H50" s="89" t="s">
        <v>1179</v>
      </c>
    </row>
    <row r="51" spans="1:8" ht="17.100000000000001" customHeight="1" thickBot="1" x14ac:dyDescent="0.25">
      <c r="A51" s="5" t="s">
        <v>17</v>
      </c>
      <c r="B51" s="5" t="s">
        <v>7</v>
      </c>
      <c r="C51" s="11" t="s">
        <v>242</v>
      </c>
      <c r="D51" s="75">
        <v>42551</v>
      </c>
      <c r="E51" s="11" t="s">
        <v>1123</v>
      </c>
      <c r="G51" s="82" t="s">
        <v>1123</v>
      </c>
      <c r="H51" s="5"/>
    </row>
    <row r="52" spans="1:8" s="2" customFormat="1" ht="17.100000000000001" customHeight="1" thickBot="1" x14ac:dyDescent="0.25">
      <c r="A52" s="5" t="s">
        <v>17</v>
      </c>
      <c r="B52" s="5" t="s">
        <v>7</v>
      </c>
      <c r="C52" s="11" t="s">
        <v>243</v>
      </c>
      <c r="D52" s="75">
        <v>42551</v>
      </c>
      <c r="E52" s="11" t="s">
        <v>1122</v>
      </c>
      <c r="F52" s="1"/>
      <c r="G52" s="82" t="s">
        <v>1123</v>
      </c>
      <c r="H52" s="5" t="s">
        <v>1167</v>
      </c>
    </row>
    <row r="53" spans="1:8" ht="17.100000000000001" customHeight="1" thickBot="1" x14ac:dyDescent="0.25">
      <c r="A53" s="5" t="s">
        <v>17</v>
      </c>
      <c r="B53" s="5" t="s">
        <v>7</v>
      </c>
      <c r="C53" s="11" t="s">
        <v>244</v>
      </c>
      <c r="D53" s="75">
        <v>42551</v>
      </c>
      <c r="E53" s="11" t="s">
        <v>1123</v>
      </c>
      <c r="G53" s="82" t="s">
        <v>1123</v>
      </c>
      <c r="H53" s="5"/>
    </row>
    <row r="54" spans="1:8" s="2" customFormat="1" ht="17.100000000000001" customHeight="1" thickBot="1" x14ac:dyDescent="0.25">
      <c r="A54" s="5" t="s">
        <v>17</v>
      </c>
      <c r="B54" s="5" t="s">
        <v>7</v>
      </c>
      <c r="C54" s="11" t="s">
        <v>962</v>
      </c>
      <c r="D54" s="75">
        <v>42551</v>
      </c>
      <c r="E54" s="11" t="s">
        <v>1123</v>
      </c>
      <c r="F54" s="1"/>
      <c r="G54" s="82" t="s">
        <v>1122</v>
      </c>
      <c r="H54" s="5"/>
    </row>
    <row r="55" spans="1:8" ht="17.100000000000001" customHeight="1" thickBot="1" x14ac:dyDescent="0.25">
      <c r="A55" s="5" t="s">
        <v>17</v>
      </c>
      <c r="B55" s="5" t="s">
        <v>7</v>
      </c>
      <c r="C55" s="11" t="s">
        <v>963</v>
      </c>
      <c r="D55" s="75">
        <v>42551</v>
      </c>
      <c r="E55" s="11" t="s">
        <v>1123</v>
      </c>
      <c r="G55" s="82" t="s">
        <v>1123</v>
      </c>
      <c r="H55" s="5"/>
    </row>
    <row r="56" spans="1:8" ht="17.100000000000001" customHeight="1" thickBot="1" x14ac:dyDescent="0.25">
      <c r="A56" s="5" t="s">
        <v>17</v>
      </c>
      <c r="B56" s="5" t="s">
        <v>7</v>
      </c>
      <c r="C56" s="11" t="s">
        <v>245</v>
      </c>
      <c r="D56" s="75">
        <v>42551</v>
      </c>
      <c r="E56" s="11" t="s">
        <v>1123</v>
      </c>
      <c r="G56" s="82" t="s">
        <v>1123</v>
      </c>
      <c r="H56" s="5"/>
    </row>
    <row r="57" spans="1:8" ht="17.100000000000001" customHeight="1" thickBot="1" x14ac:dyDescent="0.25">
      <c r="A57" s="5" t="s">
        <v>17</v>
      </c>
      <c r="B57" s="5" t="s">
        <v>7</v>
      </c>
      <c r="C57" s="11" t="s">
        <v>246</v>
      </c>
      <c r="D57" s="75">
        <v>42551</v>
      </c>
      <c r="E57" s="11" t="s">
        <v>1123</v>
      </c>
      <c r="G57" s="82" t="s">
        <v>1123</v>
      </c>
      <c r="H57" s="5"/>
    </row>
    <row r="58" spans="1:8" ht="17.100000000000001" customHeight="1" thickBot="1" x14ac:dyDescent="0.25">
      <c r="A58" s="5" t="s">
        <v>17</v>
      </c>
      <c r="B58" s="5" t="s">
        <v>7</v>
      </c>
      <c r="C58" s="11" t="s">
        <v>964</v>
      </c>
      <c r="D58" s="75">
        <v>42551</v>
      </c>
      <c r="E58" s="11" t="s">
        <v>1123</v>
      </c>
      <c r="G58" s="82" t="s">
        <v>1123</v>
      </c>
      <c r="H58" s="5"/>
    </row>
    <row r="59" spans="1:8" ht="17.100000000000001" customHeight="1" thickBot="1" x14ac:dyDescent="0.25">
      <c r="A59" s="5" t="s">
        <v>17</v>
      </c>
      <c r="B59" s="5" t="s">
        <v>7</v>
      </c>
      <c r="C59" s="11" t="s">
        <v>965</v>
      </c>
      <c r="D59" s="75">
        <v>42551</v>
      </c>
      <c r="E59" s="11" t="s">
        <v>1123</v>
      </c>
      <c r="G59" s="82" t="s">
        <v>1123</v>
      </c>
      <c r="H59" s="5"/>
    </row>
    <row r="60" spans="1:8" s="2" customFormat="1" ht="17.100000000000001" customHeight="1" thickBot="1" x14ac:dyDescent="0.25">
      <c r="A60" s="5" t="s">
        <v>17</v>
      </c>
      <c r="B60" s="5" t="s">
        <v>7</v>
      </c>
      <c r="C60" s="11" t="s">
        <v>247</v>
      </c>
      <c r="D60" s="75">
        <v>42551</v>
      </c>
      <c r="E60" s="11" t="s">
        <v>1123</v>
      </c>
      <c r="F60" s="1"/>
      <c r="G60" s="82" t="s">
        <v>1123</v>
      </c>
      <c r="H60" s="5"/>
    </row>
    <row r="61" spans="1:8" s="2" customFormat="1" ht="17.100000000000001" customHeight="1" thickBot="1" x14ac:dyDescent="0.25">
      <c r="A61" s="5" t="s">
        <v>17</v>
      </c>
      <c r="B61" s="5" t="s">
        <v>7</v>
      </c>
      <c r="C61" s="11" t="s">
        <v>248</v>
      </c>
      <c r="D61" s="75">
        <v>42551</v>
      </c>
      <c r="E61" s="11" t="s">
        <v>1123</v>
      </c>
      <c r="F61" s="1"/>
      <c r="G61" s="82" t="s">
        <v>1123</v>
      </c>
      <c r="H61" s="5"/>
    </row>
    <row r="62" spans="1:8" ht="17.100000000000001" customHeight="1" thickBot="1" x14ac:dyDescent="0.25">
      <c r="A62" s="5" t="s">
        <v>17</v>
      </c>
      <c r="B62" s="5" t="s">
        <v>7</v>
      </c>
      <c r="C62" s="11" t="s">
        <v>249</v>
      </c>
      <c r="D62" s="75">
        <v>42551</v>
      </c>
      <c r="E62" s="11" t="s">
        <v>1123</v>
      </c>
      <c r="G62" s="82" t="s">
        <v>1123</v>
      </c>
      <c r="H62" s="5"/>
    </row>
    <row r="63" spans="1:8" s="2" customFormat="1" ht="32.25" customHeight="1" thickBot="1" x14ac:dyDescent="0.25">
      <c r="A63" s="5" t="s">
        <v>17</v>
      </c>
      <c r="B63" s="5" t="s">
        <v>7</v>
      </c>
      <c r="C63" s="11" t="s">
        <v>250</v>
      </c>
      <c r="D63" s="75">
        <v>42545</v>
      </c>
      <c r="E63" s="11" t="s">
        <v>1123</v>
      </c>
      <c r="F63" s="1"/>
      <c r="G63" s="82" t="s">
        <v>1122</v>
      </c>
      <c r="H63" s="89" t="s">
        <v>1179</v>
      </c>
    </row>
    <row r="64" spans="1:8" ht="17.100000000000001" customHeight="1" thickBot="1" x14ac:dyDescent="0.25">
      <c r="A64" s="5" t="s">
        <v>17</v>
      </c>
      <c r="B64" s="5" t="s">
        <v>7</v>
      </c>
      <c r="C64" s="11" t="s">
        <v>251</v>
      </c>
      <c r="D64" s="75">
        <v>42551</v>
      </c>
      <c r="E64" s="11" t="s">
        <v>1123</v>
      </c>
      <c r="G64" s="82" t="s">
        <v>1123</v>
      </c>
      <c r="H64" s="5"/>
    </row>
    <row r="65" spans="1:8" ht="17.100000000000001" customHeight="1" thickBot="1" x14ac:dyDescent="0.25">
      <c r="A65" s="5" t="s">
        <v>17</v>
      </c>
      <c r="B65" s="5" t="s">
        <v>7</v>
      </c>
      <c r="C65" s="11" t="s">
        <v>517</v>
      </c>
      <c r="D65" s="75">
        <v>42551</v>
      </c>
      <c r="E65" s="11" t="s">
        <v>1123</v>
      </c>
      <c r="G65" s="82" t="s">
        <v>1122</v>
      </c>
      <c r="H65" s="5"/>
    </row>
    <row r="66" spans="1:8" s="2" customFormat="1" ht="17.100000000000001" customHeight="1" thickBot="1" x14ac:dyDescent="0.25">
      <c r="A66" s="5" t="s">
        <v>17</v>
      </c>
      <c r="B66" s="5" t="s">
        <v>7</v>
      </c>
      <c r="C66" s="11" t="s">
        <v>966</v>
      </c>
      <c r="D66" s="75">
        <v>42551</v>
      </c>
      <c r="E66" s="11" t="s">
        <v>1123</v>
      </c>
      <c r="F66" s="1"/>
      <c r="G66" s="82" t="s">
        <v>1123</v>
      </c>
      <c r="H66" s="5"/>
    </row>
    <row r="67" spans="1:8" s="2" customFormat="1" ht="17.100000000000001" customHeight="1" thickBot="1" x14ac:dyDescent="0.25">
      <c r="A67" s="5" t="s">
        <v>17</v>
      </c>
      <c r="B67" s="5" t="s">
        <v>18</v>
      </c>
      <c r="C67" s="11" t="s">
        <v>518</v>
      </c>
      <c r="D67" s="75">
        <v>42551</v>
      </c>
      <c r="E67" s="11" t="s">
        <v>1123</v>
      </c>
      <c r="F67" s="1"/>
      <c r="G67" s="82" t="s">
        <v>1123</v>
      </c>
      <c r="H67" s="5"/>
    </row>
    <row r="68" spans="1:8" ht="17.100000000000001" customHeight="1" thickBot="1" x14ac:dyDescent="0.25">
      <c r="A68" s="5" t="s">
        <v>17</v>
      </c>
      <c r="B68" s="5" t="s">
        <v>18</v>
      </c>
      <c r="C68" s="11" t="s">
        <v>967</v>
      </c>
      <c r="D68" s="75">
        <v>42551</v>
      </c>
      <c r="E68" s="11" t="s">
        <v>1123</v>
      </c>
      <c r="G68" s="82" t="s">
        <v>1123</v>
      </c>
      <c r="H68" s="5"/>
    </row>
    <row r="69" spans="1:8" ht="17.100000000000001" customHeight="1" thickBot="1" x14ac:dyDescent="0.25">
      <c r="A69" s="5" t="s">
        <v>17</v>
      </c>
      <c r="B69" s="5" t="s">
        <v>19</v>
      </c>
      <c r="C69" s="11" t="s">
        <v>253</v>
      </c>
      <c r="D69" s="75">
        <v>42547</v>
      </c>
      <c r="E69" s="11" t="s">
        <v>1152</v>
      </c>
      <c r="G69" s="82" t="s">
        <v>1123</v>
      </c>
      <c r="H69" s="5"/>
    </row>
    <row r="70" spans="1:8" s="2" customFormat="1" ht="17.100000000000001" customHeight="1" thickBot="1" x14ac:dyDescent="0.25">
      <c r="A70" s="5" t="s">
        <v>17</v>
      </c>
      <c r="B70" s="5" t="s">
        <v>20</v>
      </c>
      <c r="C70" s="11" t="s">
        <v>257</v>
      </c>
      <c r="D70" s="75">
        <v>42551</v>
      </c>
      <c r="E70" s="11" t="s">
        <v>1123</v>
      </c>
      <c r="F70" s="1"/>
      <c r="G70" s="82" t="s">
        <v>1123</v>
      </c>
      <c r="H70" s="5"/>
    </row>
    <row r="71" spans="1:8" s="73" customFormat="1" ht="17.100000000000001" customHeight="1" thickBot="1" x14ac:dyDescent="0.25">
      <c r="A71" s="5" t="s">
        <v>17</v>
      </c>
      <c r="B71" s="81" t="s">
        <v>551</v>
      </c>
      <c r="C71" s="11" t="s">
        <v>258</v>
      </c>
      <c r="D71" s="75">
        <v>42565</v>
      </c>
      <c r="E71" s="11" t="s">
        <v>1123</v>
      </c>
      <c r="F71" s="1"/>
      <c r="G71" s="82" t="s">
        <v>1123</v>
      </c>
      <c r="H71" s="81"/>
    </row>
    <row r="72" spans="1:8" s="2" customFormat="1" ht="17.100000000000001" customHeight="1" thickBot="1" x14ac:dyDescent="0.25">
      <c r="A72" s="5" t="s">
        <v>17</v>
      </c>
      <c r="B72" s="5" t="s">
        <v>938</v>
      </c>
      <c r="C72" s="11" t="s">
        <v>968</v>
      </c>
      <c r="D72" s="75">
        <v>42545</v>
      </c>
      <c r="E72" s="11" t="s">
        <v>1123</v>
      </c>
      <c r="F72" s="1"/>
      <c r="G72" s="82" t="s">
        <v>1123</v>
      </c>
      <c r="H72" s="5"/>
    </row>
    <row r="73" spans="1:8" s="2" customFormat="1" ht="17.100000000000001" customHeight="1" thickBot="1" x14ac:dyDescent="0.25">
      <c r="A73" s="6" t="s">
        <v>25</v>
      </c>
      <c r="B73" s="6" t="s">
        <v>7</v>
      </c>
      <c r="C73" s="7" t="s">
        <v>259</v>
      </c>
      <c r="D73" s="76">
        <v>42552</v>
      </c>
      <c r="E73" s="7" t="s">
        <v>1123</v>
      </c>
      <c r="F73" s="1"/>
      <c r="G73" s="86" t="s">
        <v>1123</v>
      </c>
      <c r="H73" s="6"/>
    </row>
    <row r="74" spans="1:8" ht="17.100000000000001" customHeight="1" thickBot="1" x14ac:dyDescent="0.25">
      <c r="A74" s="6" t="s">
        <v>25</v>
      </c>
      <c r="B74" s="6" t="s">
        <v>7</v>
      </c>
      <c r="C74" s="7" t="s">
        <v>974</v>
      </c>
      <c r="D74" s="76">
        <v>42552</v>
      </c>
      <c r="E74" s="7" t="s">
        <v>1122</v>
      </c>
      <c r="G74" s="86" t="s">
        <v>1123</v>
      </c>
      <c r="H74" s="6"/>
    </row>
    <row r="75" spans="1:8" s="2" customFormat="1" ht="17.100000000000001" customHeight="1" thickBot="1" x14ac:dyDescent="0.25">
      <c r="A75" s="6" t="s">
        <v>25</v>
      </c>
      <c r="B75" s="6" t="s">
        <v>7</v>
      </c>
      <c r="C75" s="7" t="s">
        <v>975</v>
      </c>
      <c r="D75" s="76">
        <v>42552</v>
      </c>
      <c r="E75" s="7" t="s">
        <v>1123</v>
      </c>
      <c r="F75" s="1"/>
      <c r="G75" s="86" t="s">
        <v>1123</v>
      </c>
      <c r="H75" s="6"/>
    </row>
    <row r="76" spans="1:8" s="2" customFormat="1" ht="17.100000000000001" customHeight="1" thickBot="1" x14ac:dyDescent="0.25">
      <c r="A76" s="6" t="s">
        <v>25</v>
      </c>
      <c r="B76" s="6" t="s">
        <v>7</v>
      </c>
      <c r="C76" s="7" t="s">
        <v>976</v>
      </c>
      <c r="D76" s="76">
        <v>42552</v>
      </c>
      <c r="E76" s="7" t="s">
        <v>1123</v>
      </c>
      <c r="F76" s="1"/>
      <c r="G76" s="86" t="s">
        <v>1154</v>
      </c>
      <c r="H76" s="6"/>
    </row>
    <row r="77" spans="1:8" ht="17.100000000000001" customHeight="1" thickBot="1" x14ac:dyDescent="0.25">
      <c r="A77" s="6" t="s">
        <v>25</v>
      </c>
      <c r="B77" s="6" t="s">
        <v>26</v>
      </c>
      <c r="C77" s="7" t="s">
        <v>260</v>
      </c>
      <c r="D77" s="76">
        <v>42545</v>
      </c>
      <c r="E77" s="7" t="s">
        <v>1125</v>
      </c>
      <c r="G77" s="86" t="s">
        <v>1121</v>
      </c>
      <c r="H77" s="6"/>
    </row>
    <row r="78" spans="1:8" ht="17.100000000000001" customHeight="1" thickBot="1" x14ac:dyDescent="0.25">
      <c r="A78" s="6" t="s">
        <v>25</v>
      </c>
      <c r="B78" s="6" t="s">
        <v>27</v>
      </c>
      <c r="C78" s="7" t="s">
        <v>265</v>
      </c>
      <c r="D78" s="76">
        <v>42545</v>
      </c>
      <c r="E78" s="7" t="s">
        <v>1123</v>
      </c>
      <c r="G78" s="86" t="s">
        <v>1123</v>
      </c>
      <c r="H78" s="6"/>
    </row>
    <row r="79" spans="1:8" ht="17.100000000000001" customHeight="1" thickBot="1" x14ac:dyDescent="0.25">
      <c r="A79" s="6" t="s">
        <v>25</v>
      </c>
      <c r="B79" s="6" t="s">
        <v>882</v>
      </c>
      <c r="C79" s="7" t="s">
        <v>977</v>
      </c>
      <c r="D79" s="76">
        <v>42552</v>
      </c>
      <c r="E79" s="7" t="s">
        <v>1123</v>
      </c>
      <c r="G79" s="86" t="s">
        <v>1123</v>
      </c>
      <c r="H79" s="6"/>
    </row>
    <row r="80" spans="1:8" ht="17.100000000000001" customHeight="1" thickBot="1" x14ac:dyDescent="0.25">
      <c r="A80" s="5" t="s">
        <v>93</v>
      </c>
      <c r="B80" s="5" t="s">
        <v>7</v>
      </c>
      <c r="C80" s="11" t="s">
        <v>318</v>
      </c>
      <c r="D80" s="75">
        <v>42562</v>
      </c>
      <c r="E80" s="11" t="s">
        <v>1123</v>
      </c>
      <c r="G80" s="82" t="s">
        <v>1123</v>
      </c>
      <c r="H80" s="5"/>
    </row>
    <row r="81" spans="1:8" ht="17.100000000000001" customHeight="1" thickBot="1" x14ac:dyDescent="0.25">
      <c r="A81" s="5" t="s">
        <v>93</v>
      </c>
      <c r="B81" s="5" t="s">
        <v>7</v>
      </c>
      <c r="C81" s="11" t="s">
        <v>1100</v>
      </c>
      <c r="D81" s="75">
        <v>42551</v>
      </c>
      <c r="E81" s="11" t="s">
        <v>1123</v>
      </c>
      <c r="G81" s="82" t="s">
        <v>1123</v>
      </c>
      <c r="H81" s="5"/>
    </row>
    <row r="82" spans="1:8" ht="17.100000000000001" customHeight="1" thickBot="1" x14ac:dyDescent="0.25">
      <c r="A82" s="5" t="s">
        <v>93</v>
      </c>
      <c r="B82" s="5" t="s">
        <v>7</v>
      </c>
      <c r="C82" s="11" t="s">
        <v>1101</v>
      </c>
      <c r="D82" s="75">
        <v>42551</v>
      </c>
      <c r="E82" s="11" t="s">
        <v>1122</v>
      </c>
      <c r="G82" s="82" t="s">
        <v>1122</v>
      </c>
      <c r="H82" s="5" t="s">
        <v>1178</v>
      </c>
    </row>
    <row r="83" spans="1:8" s="2" customFormat="1" ht="17.100000000000001" customHeight="1" thickBot="1" x14ac:dyDescent="0.25">
      <c r="A83" s="5" t="s">
        <v>93</v>
      </c>
      <c r="B83" s="5" t="s">
        <v>7</v>
      </c>
      <c r="C83" s="11" t="s">
        <v>906</v>
      </c>
      <c r="D83" s="75">
        <v>42551</v>
      </c>
      <c r="E83" s="11" t="s">
        <v>1123</v>
      </c>
      <c r="F83" s="1"/>
      <c r="G83" s="82" t="s">
        <v>1123</v>
      </c>
      <c r="H83" s="5"/>
    </row>
    <row r="84" spans="1:8" s="2" customFormat="1" ht="17.100000000000001" customHeight="1" thickBot="1" x14ac:dyDescent="0.25">
      <c r="A84" s="6" t="s">
        <v>185</v>
      </c>
      <c r="B84" s="6" t="s">
        <v>7</v>
      </c>
      <c r="C84" s="7" t="s">
        <v>444</v>
      </c>
      <c r="D84" s="76">
        <v>42552</v>
      </c>
      <c r="E84" s="7" t="s">
        <v>1123</v>
      </c>
      <c r="F84" s="1"/>
      <c r="G84" s="86" t="s">
        <v>1125</v>
      </c>
      <c r="H84" s="6"/>
    </row>
    <row r="85" spans="1:8" s="2" customFormat="1" ht="17.100000000000001" customHeight="1" thickBot="1" x14ac:dyDescent="0.25">
      <c r="A85" s="6" t="s">
        <v>185</v>
      </c>
      <c r="B85" s="6" t="s">
        <v>7</v>
      </c>
      <c r="C85" s="7" t="s">
        <v>1102</v>
      </c>
      <c r="D85" s="76">
        <v>42552</v>
      </c>
      <c r="E85" s="7" t="s">
        <v>1122</v>
      </c>
      <c r="F85" s="1"/>
      <c r="G85" s="86" t="s">
        <v>1123</v>
      </c>
      <c r="H85" s="6"/>
    </row>
    <row r="86" spans="1:8" ht="17.100000000000001" customHeight="1" thickBot="1" x14ac:dyDescent="0.25">
      <c r="A86" s="6" t="s">
        <v>185</v>
      </c>
      <c r="B86" s="6" t="s">
        <v>7</v>
      </c>
      <c r="C86" s="7" t="s">
        <v>446</v>
      </c>
      <c r="D86" s="76">
        <v>42552</v>
      </c>
      <c r="E86" s="7" t="s">
        <v>1123</v>
      </c>
      <c r="G86" s="86" t="s">
        <v>1123</v>
      </c>
      <c r="H86" s="6"/>
    </row>
    <row r="87" spans="1:8" ht="17.100000000000001" customHeight="1" thickBot="1" x14ac:dyDescent="0.25">
      <c r="A87" s="6" t="s">
        <v>185</v>
      </c>
      <c r="B87" s="6" t="s">
        <v>534</v>
      </c>
      <c r="C87" s="7" t="s">
        <v>533</v>
      </c>
      <c r="D87" s="76">
        <v>42552</v>
      </c>
      <c r="E87" s="7" t="s">
        <v>1123</v>
      </c>
      <c r="G87" s="86" t="s">
        <v>1123</v>
      </c>
      <c r="H87" s="6"/>
    </row>
    <row r="88" spans="1:8" ht="17.100000000000001" customHeight="1" thickBot="1" x14ac:dyDescent="0.25">
      <c r="A88" s="6" t="s">
        <v>185</v>
      </c>
      <c r="B88" s="6" t="s">
        <v>898</v>
      </c>
      <c r="C88" s="7" t="s">
        <v>1103</v>
      </c>
      <c r="D88" s="76">
        <v>42552</v>
      </c>
      <c r="E88" s="7" t="s">
        <v>1123</v>
      </c>
      <c r="G88" s="86" t="s">
        <v>1123</v>
      </c>
      <c r="H88" s="6"/>
    </row>
    <row r="89" spans="1:8" s="2" customFormat="1" ht="17.100000000000001" customHeight="1" thickBot="1" x14ac:dyDescent="0.25">
      <c r="A89" s="5" t="s">
        <v>61</v>
      </c>
      <c r="B89" s="5" t="s">
        <v>7</v>
      </c>
      <c r="C89" s="11" t="s">
        <v>1015</v>
      </c>
      <c r="D89" s="75">
        <v>42551</v>
      </c>
      <c r="E89" s="11" t="s">
        <v>1123</v>
      </c>
      <c r="F89" s="1"/>
      <c r="G89" s="82" t="s">
        <v>1123</v>
      </c>
      <c r="H89" s="5"/>
    </row>
    <row r="90" spans="1:8" ht="17.100000000000001" customHeight="1" thickBot="1" x14ac:dyDescent="0.25">
      <c r="A90" s="5" t="s">
        <v>61</v>
      </c>
      <c r="B90" s="5" t="s">
        <v>7</v>
      </c>
      <c r="C90" s="11" t="s">
        <v>1016</v>
      </c>
      <c r="D90" s="75">
        <v>42541</v>
      </c>
      <c r="E90" s="11" t="s">
        <v>1121</v>
      </c>
      <c r="G90" s="82" t="s">
        <v>1123</v>
      </c>
      <c r="H90" s="5"/>
    </row>
    <row r="91" spans="1:8" ht="69" customHeight="1" thickBot="1" x14ac:dyDescent="0.25">
      <c r="A91" s="5" t="s">
        <v>61</v>
      </c>
      <c r="B91" s="5" t="s">
        <v>7</v>
      </c>
      <c r="C91" s="11" t="s">
        <v>287</v>
      </c>
      <c r="D91" s="75">
        <v>42551</v>
      </c>
      <c r="E91" s="11" t="s">
        <v>1123</v>
      </c>
      <c r="G91" s="82" t="s">
        <v>1154</v>
      </c>
      <c r="H91" s="89" t="s">
        <v>1162</v>
      </c>
    </row>
    <row r="92" spans="1:8" ht="17.100000000000001" customHeight="1" thickBot="1" x14ac:dyDescent="0.25">
      <c r="A92" s="5" t="s">
        <v>61</v>
      </c>
      <c r="B92" s="5" t="s">
        <v>63</v>
      </c>
      <c r="C92" s="11" t="s">
        <v>291</v>
      </c>
      <c r="D92" s="75">
        <v>42541</v>
      </c>
      <c r="E92" s="11" t="s">
        <v>1123</v>
      </c>
      <c r="G92" s="82" t="s">
        <v>1123</v>
      </c>
      <c r="H92" s="5"/>
    </row>
    <row r="93" spans="1:8" s="2" customFormat="1" ht="17.100000000000001" customHeight="1" thickBot="1" x14ac:dyDescent="0.25">
      <c r="A93" s="5" t="s">
        <v>61</v>
      </c>
      <c r="B93" s="5" t="s">
        <v>64</v>
      </c>
      <c r="C93" s="11" t="s">
        <v>292</v>
      </c>
      <c r="D93" s="75">
        <v>42533</v>
      </c>
      <c r="E93" s="11" t="s">
        <v>1158</v>
      </c>
      <c r="F93" s="1"/>
      <c r="G93" s="82" t="s">
        <v>1124</v>
      </c>
      <c r="H93" s="5"/>
    </row>
    <row r="94" spans="1:8" ht="17.100000000000001" customHeight="1" thickBot="1" x14ac:dyDescent="0.25">
      <c r="A94" s="5" t="s">
        <v>61</v>
      </c>
      <c r="B94" s="5" t="s">
        <v>65</v>
      </c>
      <c r="C94" s="11" t="s">
        <v>486</v>
      </c>
      <c r="D94" s="75">
        <v>42541</v>
      </c>
      <c r="E94" s="11" t="s">
        <v>1123</v>
      </c>
      <c r="G94" s="82" t="s">
        <v>1123</v>
      </c>
      <c r="H94" s="5"/>
    </row>
    <row r="95" spans="1:8" ht="17.100000000000001" customHeight="1" thickBot="1" x14ac:dyDescent="0.25">
      <c r="A95" s="5" t="s">
        <v>61</v>
      </c>
      <c r="B95" s="5" t="s">
        <v>65</v>
      </c>
      <c r="C95" s="11" t="s">
        <v>295</v>
      </c>
      <c r="D95" s="75">
        <v>42551</v>
      </c>
      <c r="E95" s="11" t="s">
        <v>1123</v>
      </c>
      <c r="G95" s="82" t="s">
        <v>1123</v>
      </c>
      <c r="H95" s="5"/>
    </row>
    <row r="96" spans="1:8" s="2" customFormat="1" ht="17.100000000000001" customHeight="1" thickBot="1" x14ac:dyDescent="0.25">
      <c r="A96" s="5" t="s">
        <v>61</v>
      </c>
      <c r="B96" s="5" t="s">
        <v>65</v>
      </c>
      <c r="C96" s="11" t="s">
        <v>1017</v>
      </c>
      <c r="D96" s="75">
        <v>42541</v>
      </c>
      <c r="E96" s="11" t="s">
        <v>1157</v>
      </c>
      <c r="F96" s="1"/>
      <c r="G96" s="82" t="s">
        <v>1123</v>
      </c>
      <c r="H96" s="5"/>
    </row>
    <row r="97" spans="1:8" ht="17.100000000000001" customHeight="1" thickBot="1" x14ac:dyDescent="0.25">
      <c r="A97" s="5" t="s">
        <v>61</v>
      </c>
      <c r="B97" s="5" t="s">
        <v>65</v>
      </c>
      <c r="C97" s="11" t="s">
        <v>1018</v>
      </c>
      <c r="D97" s="75">
        <v>42541</v>
      </c>
      <c r="E97" s="11" t="s">
        <v>1123</v>
      </c>
      <c r="G97" s="82" t="s">
        <v>1121</v>
      </c>
      <c r="H97" s="5"/>
    </row>
    <row r="98" spans="1:8" s="2" customFormat="1" ht="47.25" customHeight="1" thickBot="1" x14ac:dyDescent="0.25">
      <c r="A98" s="5" t="s">
        <v>61</v>
      </c>
      <c r="B98" s="5" t="s">
        <v>66</v>
      </c>
      <c r="C98" s="11" t="s">
        <v>300</v>
      </c>
      <c r="D98" s="75">
        <v>42541</v>
      </c>
      <c r="E98" s="11" t="s">
        <v>1122</v>
      </c>
      <c r="F98" s="1"/>
      <c r="G98" s="82" t="s">
        <v>1123</v>
      </c>
      <c r="H98" s="89" t="s">
        <v>1182</v>
      </c>
    </row>
    <row r="99" spans="1:8" ht="17.100000000000001" customHeight="1" thickBot="1" x14ac:dyDescent="0.25">
      <c r="A99" s="5" t="s">
        <v>61</v>
      </c>
      <c r="B99" s="5" t="s">
        <v>62</v>
      </c>
      <c r="C99" s="11" t="s">
        <v>296</v>
      </c>
      <c r="D99" s="75">
        <v>42541</v>
      </c>
      <c r="E99" s="11" t="s">
        <v>1123</v>
      </c>
      <c r="G99" s="82" t="s">
        <v>1123</v>
      </c>
      <c r="H99" s="5"/>
    </row>
    <row r="100" spans="1:8" ht="17.100000000000001" customHeight="1" thickBot="1" x14ac:dyDescent="0.25">
      <c r="A100" s="6" t="s">
        <v>48</v>
      </c>
      <c r="B100" s="6" t="s">
        <v>7</v>
      </c>
      <c r="C100" s="7" t="s">
        <v>277</v>
      </c>
      <c r="D100" s="76">
        <v>42551</v>
      </c>
      <c r="E100" s="7" t="s">
        <v>1124</v>
      </c>
      <c r="G100" s="86" t="s">
        <v>1123</v>
      </c>
      <c r="H100" s="6"/>
    </row>
    <row r="101" spans="1:8" s="2" customFormat="1" ht="17.100000000000001" customHeight="1" thickBot="1" x14ac:dyDescent="0.25">
      <c r="A101" s="6" t="s">
        <v>48</v>
      </c>
      <c r="B101" s="6" t="s">
        <v>7</v>
      </c>
      <c r="C101" s="7" t="s">
        <v>1008</v>
      </c>
      <c r="D101" s="76">
        <v>42551</v>
      </c>
      <c r="E101" s="7" t="s">
        <v>1123</v>
      </c>
      <c r="F101" s="1"/>
      <c r="G101" s="86" t="s">
        <v>1150</v>
      </c>
      <c r="H101" s="6"/>
    </row>
    <row r="102" spans="1:8" ht="17.100000000000001" customHeight="1" thickBot="1" x14ac:dyDescent="0.25">
      <c r="A102" s="6" t="s">
        <v>48</v>
      </c>
      <c r="B102" s="6" t="s">
        <v>49</v>
      </c>
      <c r="C102" s="7" t="s">
        <v>1009</v>
      </c>
      <c r="D102" s="76">
        <v>42551</v>
      </c>
      <c r="E102" s="7" t="s">
        <v>1123</v>
      </c>
      <c r="G102" s="86" t="s">
        <v>1121</v>
      </c>
      <c r="H102" s="6"/>
    </row>
    <row r="103" spans="1:8" s="2" customFormat="1" ht="17.100000000000001" customHeight="1" thickBot="1" x14ac:dyDescent="0.25">
      <c r="A103" s="6" t="s">
        <v>48</v>
      </c>
      <c r="B103" s="6" t="s">
        <v>49</v>
      </c>
      <c r="C103" s="7" t="s">
        <v>1010</v>
      </c>
      <c r="D103" s="76">
        <v>42552</v>
      </c>
      <c r="E103" s="7" t="s">
        <v>1123</v>
      </c>
      <c r="F103" s="1"/>
      <c r="G103" s="86" t="s">
        <v>1123</v>
      </c>
      <c r="H103" s="6"/>
    </row>
    <row r="104" spans="1:8" ht="17.100000000000001" customHeight="1" thickBot="1" x14ac:dyDescent="0.25">
      <c r="A104" s="6" t="s">
        <v>48</v>
      </c>
      <c r="B104" s="6" t="s">
        <v>49</v>
      </c>
      <c r="C104" s="7" t="s">
        <v>1011</v>
      </c>
      <c r="D104" s="76">
        <v>42549</v>
      </c>
      <c r="E104" s="7" t="s">
        <v>1121</v>
      </c>
      <c r="G104" s="86" t="s">
        <v>1123</v>
      </c>
      <c r="H104" s="6"/>
    </row>
    <row r="105" spans="1:8" ht="17.100000000000001" customHeight="1" thickBot="1" x14ac:dyDescent="0.25">
      <c r="A105" s="6" t="s">
        <v>48</v>
      </c>
      <c r="B105" s="6" t="s">
        <v>50</v>
      </c>
      <c r="C105" s="7" t="s">
        <v>280</v>
      </c>
      <c r="D105" s="76">
        <v>42573</v>
      </c>
      <c r="E105" s="7" t="s">
        <v>1123</v>
      </c>
      <c r="G105" s="86" t="s">
        <v>1123</v>
      </c>
      <c r="H105" s="6"/>
    </row>
    <row r="106" spans="1:8" s="71" customFormat="1" ht="17.100000000000001" customHeight="1" thickBot="1" x14ac:dyDescent="0.25">
      <c r="A106" s="6" t="s">
        <v>48</v>
      </c>
      <c r="B106" s="6" t="s">
        <v>51</v>
      </c>
      <c r="C106" s="7" t="s">
        <v>283</v>
      </c>
      <c r="D106" s="76">
        <v>42552</v>
      </c>
      <c r="E106" s="7" t="s">
        <v>1123</v>
      </c>
      <c r="F106" s="1"/>
      <c r="G106" s="86" t="s">
        <v>1123</v>
      </c>
      <c r="H106" s="6"/>
    </row>
    <row r="107" spans="1:8" s="2" customFormat="1" ht="17.100000000000001" customHeight="1" thickBot="1" x14ac:dyDescent="0.25">
      <c r="A107" s="5" t="s">
        <v>216</v>
      </c>
      <c r="B107" s="5" t="s">
        <v>7</v>
      </c>
      <c r="C107" s="11" t="s">
        <v>530</v>
      </c>
      <c r="D107" s="75">
        <v>42565</v>
      </c>
      <c r="E107" s="11" t="s">
        <v>1123</v>
      </c>
      <c r="F107" s="1"/>
      <c r="G107" s="82" t="s">
        <v>1121</v>
      </c>
      <c r="H107" s="5"/>
    </row>
    <row r="108" spans="1:8" s="2" customFormat="1" ht="17.100000000000001" customHeight="1" thickBot="1" x14ac:dyDescent="0.25">
      <c r="A108" s="5" t="s">
        <v>216</v>
      </c>
      <c r="B108" s="5" t="s">
        <v>7</v>
      </c>
      <c r="C108" s="11" t="s">
        <v>568</v>
      </c>
      <c r="D108" s="75">
        <v>42552</v>
      </c>
      <c r="E108" s="11" t="s">
        <v>1123</v>
      </c>
      <c r="F108" s="1"/>
      <c r="G108" s="82" t="s">
        <v>1123</v>
      </c>
      <c r="H108" s="5"/>
    </row>
    <row r="109" spans="1:8" ht="17.100000000000001" customHeight="1" thickBot="1" x14ac:dyDescent="0.25">
      <c r="A109" s="5" t="s">
        <v>216</v>
      </c>
      <c r="B109" s="5" t="s">
        <v>7</v>
      </c>
      <c r="C109" s="11" t="s">
        <v>478</v>
      </c>
      <c r="D109" s="75">
        <v>42566</v>
      </c>
      <c r="E109" s="11" t="s">
        <v>1121</v>
      </c>
      <c r="G109" s="82" t="s">
        <v>1123</v>
      </c>
      <c r="H109" s="5"/>
    </row>
    <row r="110" spans="1:8" ht="17.100000000000001" customHeight="1" thickBot="1" x14ac:dyDescent="0.25">
      <c r="A110" s="6" t="s">
        <v>72</v>
      </c>
      <c r="B110" s="6" t="s">
        <v>7</v>
      </c>
      <c r="C110" s="7" t="s">
        <v>1021</v>
      </c>
      <c r="D110" s="76">
        <v>42528</v>
      </c>
      <c r="E110" s="7" t="s">
        <v>1123</v>
      </c>
      <c r="G110" s="86" t="s">
        <v>1121</v>
      </c>
      <c r="H110" s="6"/>
    </row>
    <row r="111" spans="1:8" ht="54.75" customHeight="1" thickBot="1" x14ac:dyDescent="0.25">
      <c r="A111" s="6" t="s">
        <v>72</v>
      </c>
      <c r="B111" s="6" t="s">
        <v>7</v>
      </c>
      <c r="C111" s="7" t="s">
        <v>1022</v>
      </c>
      <c r="D111" s="76">
        <v>42528</v>
      </c>
      <c r="E111" s="7" t="s">
        <v>1155</v>
      </c>
      <c r="G111" s="86" t="s">
        <v>1123</v>
      </c>
      <c r="H111" s="90" t="s">
        <v>1161</v>
      </c>
    </row>
    <row r="112" spans="1:8" ht="17.100000000000001" customHeight="1" thickBot="1" x14ac:dyDescent="0.25">
      <c r="A112" s="5" t="s">
        <v>94</v>
      </c>
      <c r="B112" s="5" t="s">
        <v>7</v>
      </c>
      <c r="C112" s="11" t="s">
        <v>320</v>
      </c>
      <c r="D112" s="75">
        <v>42538</v>
      </c>
      <c r="E112" s="11" t="s">
        <v>1123</v>
      </c>
      <c r="G112" s="82" t="s">
        <v>1123</v>
      </c>
      <c r="H112" s="5"/>
    </row>
    <row r="113" spans="1:8" s="29" customFormat="1" ht="17.100000000000001" customHeight="1" thickBot="1" x14ac:dyDescent="0.25">
      <c r="A113" s="5" t="s">
        <v>94</v>
      </c>
      <c r="B113" s="5" t="s">
        <v>7</v>
      </c>
      <c r="C113" s="11" t="s">
        <v>1050</v>
      </c>
      <c r="D113" s="75">
        <v>42538</v>
      </c>
      <c r="E113" s="11" t="s">
        <v>1123</v>
      </c>
      <c r="F113" s="1"/>
      <c r="G113" s="82" t="s">
        <v>1125</v>
      </c>
      <c r="H113" s="5"/>
    </row>
    <row r="114" spans="1:8" s="2" customFormat="1" ht="17.100000000000001" customHeight="1" thickBot="1" x14ac:dyDescent="0.25">
      <c r="A114" s="5" t="s">
        <v>94</v>
      </c>
      <c r="B114" s="5" t="s">
        <v>7</v>
      </c>
      <c r="C114" s="11" t="s">
        <v>912</v>
      </c>
      <c r="D114" s="75">
        <v>42538</v>
      </c>
      <c r="E114" s="11" t="s">
        <v>1121</v>
      </c>
      <c r="F114" s="1"/>
      <c r="G114" s="82" t="s">
        <v>1123</v>
      </c>
      <c r="H114" s="5"/>
    </row>
    <row r="115" spans="1:8" s="2" customFormat="1" ht="17.100000000000001" customHeight="1" thickBot="1" x14ac:dyDescent="0.25">
      <c r="A115" s="6" t="s">
        <v>107</v>
      </c>
      <c r="B115" s="6" t="s">
        <v>7</v>
      </c>
      <c r="C115" s="7" t="s">
        <v>332</v>
      </c>
      <c r="D115" s="76">
        <v>42526</v>
      </c>
      <c r="E115" s="7" t="s">
        <v>1125</v>
      </c>
      <c r="F115" s="1"/>
      <c r="G115" s="86" t="s">
        <v>1123</v>
      </c>
      <c r="H115" s="6"/>
    </row>
    <row r="116" spans="1:8" s="25" customFormat="1" ht="17.100000000000001" customHeight="1" thickBot="1" x14ac:dyDescent="0.25">
      <c r="A116" s="6" t="s">
        <v>107</v>
      </c>
      <c r="B116" s="6" t="s">
        <v>7</v>
      </c>
      <c r="C116" s="7" t="s">
        <v>1084</v>
      </c>
      <c r="D116" s="76">
        <v>42526</v>
      </c>
      <c r="E116" s="7" t="s">
        <v>1123</v>
      </c>
      <c r="F116" s="1"/>
      <c r="G116" s="86" t="s">
        <v>1122</v>
      </c>
      <c r="H116" s="6"/>
    </row>
    <row r="117" spans="1:8" s="29" customFormat="1" ht="17.100000000000001" customHeight="1" thickBot="1" x14ac:dyDescent="0.25">
      <c r="A117" s="6" t="s">
        <v>107</v>
      </c>
      <c r="B117" s="6" t="s">
        <v>7</v>
      </c>
      <c r="C117" s="7" t="s">
        <v>903</v>
      </c>
      <c r="D117" s="76">
        <v>42526</v>
      </c>
      <c r="E117" s="7" t="s">
        <v>1123</v>
      </c>
      <c r="F117" s="1"/>
      <c r="G117" s="86" t="s">
        <v>1123</v>
      </c>
      <c r="H117" s="6"/>
    </row>
    <row r="118" spans="1:8" s="2" customFormat="1" ht="17.100000000000001" customHeight="1" thickBot="1" x14ac:dyDescent="0.25">
      <c r="A118" s="6" t="s">
        <v>107</v>
      </c>
      <c r="B118" s="6" t="s">
        <v>7</v>
      </c>
      <c r="C118" s="7" t="s">
        <v>1085</v>
      </c>
      <c r="D118" s="76">
        <v>42526</v>
      </c>
      <c r="E118" s="7" t="s">
        <v>1123</v>
      </c>
      <c r="F118" s="1"/>
      <c r="G118" s="86" t="s">
        <v>1123</v>
      </c>
      <c r="H118" s="6"/>
    </row>
    <row r="119" spans="1:8" s="2" customFormat="1" ht="17.100000000000001" customHeight="1" thickBot="1" x14ac:dyDescent="0.25">
      <c r="A119" s="6" t="s">
        <v>107</v>
      </c>
      <c r="B119" s="6" t="s">
        <v>108</v>
      </c>
      <c r="C119" s="7" t="s">
        <v>337</v>
      </c>
      <c r="D119" s="76">
        <v>42548</v>
      </c>
      <c r="E119" s="7" t="s">
        <v>1123</v>
      </c>
      <c r="F119" s="1"/>
      <c r="G119" s="86" t="s">
        <v>1123</v>
      </c>
      <c r="H119" s="6"/>
    </row>
    <row r="120" spans="1:8" ht="32.25" thickBot="1" x14ac:dyDescent="0.25">
      <c r="A120" s="5" t="s">
        <v>73</v>
      </c>
      <c r="B120" s="5" t="s">
        <v>7</v>
      </c>
      <c r="C120" s="11" t="s">
        <v>302</v>
      </c>
      <c r="D120" s="75">
        <v>42566</v>
      </c>
      <c r="E120" s="11" t="s">
        <v>1123</v>
      </c>
      <c r="G120" s="82"/>
      <c r="H120" s="89" t="s">
        <v>1172</v>
      </c>
    </row>
    <row r="121" spans="1:8" s="2" customFormat="1" ht="33" customHeight="1" thickBot="1" x14ac:dyDescent="0.25">
      <c r="A121" s="5" t="s">
        <v>73</v>
      </c>
      <c r="B121" s="5" t="s">
        <v>7</v>
      </c>
      <c r="C121" s="11" t="s">
        <v>303</v>
      </c>
      <c r="D121" s="75">
        <v>42567</v>
      </c>
      <c r="E121" s="11"/>
      <c r="F121" s="1"/>
      <c r="G121" s="82" t="s">
        <v>1123</v>
      </c>
      <c r="H121" s="89" t="s">
        <v>1172</v>
      </c>
    </row>
    <row r="122" spans="1:8" ht="17.100000000000001" customHeight="1" thickBot="1" x14ac:dyDescent="0.25">
      <c r="A122" s="6" t="s">
        <v>204</v>
      </c>
      <c r="B122" s="6" t="s">
        <v>7</v>
      </c>
      <c r="C122" s="7" t="s">
        <v>465</v>
      </c>
      <c r="D122" s="76">
        <v>42545</v>
      </c>
      <c r="E122" s="7" t="s">
        <v>1123</v>
      </c>
      <c r="G122" s="86" t="s">
        <v>1121</v>
      </c>
      <c r="H122" s="6" t="s">
        <v>1180</v>
      </c>
    </row>
    <row r="123" spans="1:8" s="2" customFormat="1" ht="17.100000000000001" customHeight="1" thickBot="1" x14ac:dyDescent="0.25">
      <c r="A123" s="6" t="s">
        <v>204</v>
      </c>
      <c r="B123" s="6" t="s">
        <v>7</v>
      </c>
      <c r="C123" s="7" t="s">
        <v>466</v>
      </c>
      <c r="D123" s="76">
        <v>42545</v>
      </c>
      <c r="E123" s="7" t="s">
        <v>1121</v>
      </c>
      <c r="F123" s="1"/>
      <c r="G123" s="86" t="s">
        <v>1123</v>
      </c>
      <c r="H123" s="6" t="s">
        <v>1175</v>
      </c>
    </row>
    <row r="124" spans="1:8" s="2" customFormat="1" ht="17.100000000000001" customHeight="1" thickBot="1" x14ac:dyDescent="0.25">
      <c r="A124" s="6" t="s">
        <v>204</v>
      </c>
      <c r="B124" s="6" t="s">
        <v>7</v>
      </c>
      <c r="C124" s="7" t="s">
        <v>569</v>
      </c>
      <c r="D124" s="76">
        <v>42545</v>
      </c>
      <c r="E124" s="7" t="s">
        <v>1123</v>
      </c>
      <c r="F124" s="1"/>
      <c r="G124" s="86" t="s">
        <v>1123</v>
      </c>
      <c r="H124" s="6"/>
    </row>
    <row r="125" spans="1:8" s="2" customFormat="1" ht="17.100000000000001" customHeight="1" thickBot="1" x14ac:dyDescent="0.25">
      <c r="A125" s="6" t="s">
        <v>204</v>
      </c>
      <c r="B125" s="6" t="s">
        <v>205</v>
      </c>
      <c r="C125" s="7" t="s">
        <v>463</v>
      </c>
      <c r="D125" s="76">
        <v>42545</v>
      </c>
      <c r="E125" s="7" t="s">
        <v>1123</v>
      </c>
      <c r="F125" s="1"/>
      <c r="G125" s="86" t="s">
        <v>1123</v>
      </c>
      <c r="H125" s="6"/>
    </row>
    <row r="126" spans="1:8" s="2" customFormat="1" ht="17.100000000000001" customHeight="1" thickBot="1" x14ac:dyDescent="0.25">
      <c r="A126" s="6" t="s">
        <v>204</v>
      </c>
      <c r="B126" s="6" t="s">
        <v>206</v>
      </c>
      <c r="C126" s="7" t="s">
        <v>464</v>
      </c>
      <c r="D126" s="76">
        <v>42545</v>
      </c>
      <c r="E126" s="7" t="s">
        <v>1123</v>
      </c>
      <c r="F126" s="1"/>
      <c r="G126" s="86" t="s">
        <v>1123</v>
      </c>
      <c r="H126" s="6"/>
    </row>
    <row r="127" spans="1:8" ht="17.100000000000001" customHeight="1" thickBot="1" x14ac:dyDescent="0.25">
      <c r="A127" s="6" t="s">
        <v>204</v>
      </c>
      <c r="B127" s="6" t="s">
        <v>207</v>
      </c>
      <c r="C127" s="7" t="s">
        <v>474</v>
      </c>
      <c r="D127" s="76">
        <v>42545</v>
      </c>
      <c r="E127" s="7" t="s">
        <v>1123</v>
      </c>
      <c r="G127" s="86" t="s">
        <v>1123</v>
      </c>
      <c r="H127" s="6"/>
    </row>
    <row r="128" spans="1:8" s="2" customFormat="1" ht="17.100000000000001" customHeight="1" thickBot="1" x14ac:dyDescent="0.25">
      <c r="A128" s="5" t="s">
        <v>35</v>
      </c>
      <c r="B128" s="5" t="s">
        <v>7</v>
      </c>
      <c r="C128" s="11" t="s">
        <v>987</v>
      </c>
      <c r="D128" s="75">
        <v>42552</v>
      </c>
      <c r="E128" s="11" t="s">
        <v>1123</v>
      </c>
      <c r="F128" s="1"/>
      <c r="G128" s="82" t="s">
        <v>1122</v>
      </c>
      <c r="H128" s="5"/>
    </row>
    <row r="129" spans="1:8" ht="16.5" thickBot="1" x14ac:dyDescent="0.25">
      <c r="A129" s="5" t="s">
        <v>35</v>
      </c>
      <c r="B129" s="5" t="s">
        <v>7</v>
      </c>
      <c r="C129" s="11" t="s">
        <v>988</v>
      </c>
      <c r="D129" s="75">
        <v>42552</v>
      </c>
      <c r="E129" s="11" t="s">
        <v>1122</v>
      </c>
      <c r="G129" s="82" t="s">
        <v>1123</v>
      </c>
      <c r="H129" s="5"/>
    </row>
    <row r="130" spans="1:8" s="2" customFormat="1" ht="17.100000000000001" customHeight="1" thickBot="1" x14ac:dyDescent="0.25">
      <c r="A130" s="5" t="s">
        <v>35</v>
      </c>
      <c r="B130" s="5" t="s">
        <v>7</v>
      </c>
      <c r="C130" s="11" t="s">
        <v>989</v>
      </c>
      <c r="D130" s="75">
        <v>42552</v>
      </c>
      <c r="E130" s="11" t="s">
        <v>1123</v>
      </c>
      <c r="F130" s="1"/>
      <c r="G130" s="82" t="s">
        <v>1123</v>
      </c>
      <c r="H130" s="5"/>
    </row>
    <row r="131" spans="1:8" s="73" customFormat="1" ht="17.100000000000001" customHeight="1" thickBot="1" x14ac:dyDescent="0.25">
      <c r="A131" s="5" t="s">
        <v>35</v>
      </c>
      <c r="B131" s="5" t="s">
        <v>7</v>
      </c>
      <c r="C131" s="11" t="s">
        <v>1181</v>
      </c>
      <c r="D131" s="75">
        <v>42552</v>
      </c>
      <c r="E131" s="11" t="s">
        <v>1123</v>
      </c>
      <c r="F131" s="1"/>
      <c r="G131" s="82" t="s">
        <v>1123</v>
      </c>
      <c r="H131" s="5"/>
    </row>
    <row r="132" spans="1:8" ht="16.5" thickBot="1" x14ac:dyDescent="0.25">
      <c r="A132" s="5" t="s">
        <v>35</v>
      </c>
      <c r="B132" s="5" t="s">
        <v>7</v>
      </c>
      <c r="C132" s="11" t="s">
        <v>1114</v>
      </c>
      <c r="D132" s="75">
        <v>42552</v>
      </c>
      <c r="E132" s="11" t="s">
        <v>1123</v>
      </c>
      <c r="G132" s="82" t="s">
        <v>1123</v>
      </c>
      <c r="H132" s="5"/>
    </row>
    <row r="133" spans="1:8" s="2" customFormat="1" ht="17.100000000000001" customHeight="1" thickBot="1" x14ac:dyDescent="0.25">
      <c r="A133" s="5" t="s">
        <v>35</v>
      </c>
      <c r="B133" s="5" t="s">
        <v>36</v>
      </c>
      <c r="C133" s="11" t="s">
        <v>1136</v>
      </c>
      <c r="D133" s="75">
        <v>42552</v>
      </c>
      <c r="E133" s="11" t="s">
        <v>1122</v>
      </c>
      <c r="F133" s="1"/>
      <c r="G133" s="82" t="s">
        <v>1122</v>
      </c>
      <c r="H133" s="5"/>
    </row>
    <row r="134" spans="1:8" s="73" customFormat="1" ht="17.100000000000001" customHeight="1" thickBot="1" x14ac:dyDescent="0.25">
      <c r="A134" s="5" t="s">
        <v>35</v>
      </c>
      <c r="B134" s="5" t="s">
        <v>37</v>
      </c>
      <c r="C134" s="11" t="s">
        <v>1137</v>
      </c>
      <c r="D134" s="75">
        <v>42552</v>
      </c>
      <c r="E134" s="11" t="s">
        <v>1122</v>
      </c>
      <c r="F134" s="1"/>
      <c r="G134" s="82" t="s">
        <v>1122</v>
      </c>
      <c r="H134" s="5"/>
    </row>
    <row r="135" spans="1:8" s="2" customFormat="1" ht="17.100000000000001" customHeight="1" thickBot="1" x14ac:dyDescent="0.25">
      <c r="A135" s="6" t="s">
        <v>28</v>
      </c>
      <c r="B135" s="6" t="s">
        <v>7</v>
      </c>
      <c r="C135" s="7" t="s">
        <v>982</v>
      </c>
      <c r="D135" s="76">
        <v>42551</v>
      </c>
      <c r="E135" s="7" t="s">
        <v>1123</v>
      </c>
      <c r="F135" s="1"/>
      <c r="G135" s="86" t="s">
        <v>1123</v>
      </c>
      <c r="H135" s="6"/>
    </row>
    <row r="136" spans="1:8" s="2" customFormat="1" ht="17.100000000000001" customHeight="1" thickBot="1" x14ac:dyDescent="0.25">
      <c r="A136" s="6" t="s">
        <v>28</v>
      </c>
      <c r="B136" s="6" t="s">
        <v>7</v>
      </c>
      <c r="C136" s="7" t="s">
        <v>263</v>
      </c>
      <c r="D136" s="76">
        <v>42551</v>
      </c>
      <c r="E136" s="7" t="s">
        <v>1121</v>
      </c>
      <c r="F136" s="1"/>
      <c r="G136" s="86" t="s">
        <v>1123</v>
      </c>
      <c r="H136" s="6"/>
    </row>
    <row r="137" spans="1:8" s="2" customFormat="1" ht="17.100000000000001" customHeight="1" thickBot="1" x14ac:dyDescent="0.25">
      <c r="A137" s="6" t="s">
        <v>28</v>
      </c>
      <c r="B137" s="6" t="s">
        <v>7</v>
      </c>
      <c r="C137" s="7" t="s">
        <v>983</v>
      </c>
      <c r="D137" s="76">
        <v>42551</v>
      </c>
      <c r="E137" s="7" t="s">
        <v>1123</v>
      </c>
      <c r="F137" s="1"/>
      <c r="G137" s="86" t="s">
        <v>1121</v>
      </c>
      <c r="H137" s="6"/>
    </row>
    <row r="138" spans="1:8" ht="17.100000000000001" customHeight="1" thickBot="1" x14ac:dyDescent="0.25">
      <c r="A138" s="6" t="s">
        <v>28</v>
      </c>
      <c r="B138" s="6" t="s">
        <v>7</v>
      </c>
      <c r="C138" s="7" t="s">
        <v>984</v>
      </c>
      <c r="D138" s="76">
        <v>42551</v>
      </c>
      <c r="E138" s="7" t="s">
        <v>1121</v>
      </c>
      <c r="G138" s="86" t="s">
        <v>1121</v>
      </c>
      <c r="H138" s="6" t="s">
        <v>1160</v>
      </c>
    </row>
    <row r="139" spans="1:8" s="2" customFormat="1" ht="17.100000000000001" customHeight="1" thickBot="1" x14ac:dyDescent="0.25">
      <c r="A139" s="6" t="s">
        <v>28</v>
      </c>
      <c r="B139" s="6" t="s">
        <v>7</v>
      </c>
      <c r="C139" s="7" t="s">
        <v>985</v>
      </c>
      <c r="D139" s="76">
        <v>42551</v>
      </c>
      <c r="E139" s="7" t="s">
        <v>1121</v>
      </c>
      <c r="F139" s="1"/>
      <c r="G139" s="86" t="s">
        <v>1121</v>
      </c>
      <c r="H139" s="6" t="s">
        <v>1160</v>
      </c>
    </row>
    <row r="140" spans="1:8" s="2" customFormat="1" ht="17.100000000000001" customHeight="1" thickBot="1" x14ac:dyDescent="0.25">
      <c r="A140" s="6" t="s">
        <v>28</v>
      </c>
      <c r="B140" s="6" t="s">
        <v>29</v>
      </c>
      <c r="C140" s="7" t="s">
        <v>262</v>
      </c>
      <c r="D140" s="76" t="s">
        <v>1123</v>
      </c>
      <c r="E140" s="7" t="s">
        <v>1125</v>
      </c>
      <c r="F140" s="1"/>
      <c r="G140" s="86" t="s">
        <v>1121</v>
      </c>
      <c r="H140" s="6"/>
    </row>
    <row r="141" spans="1:8" ht="17.100000000000001" customHeight="1" thickBot="1" x14ac:dyDescent="0.25">
      <c r="A141" s="6" t="s">
        <v>28</v>
      </c>
      <c r="B141" s="6" t="s">
        <v>519</v>
      </c>
      <c r="C141" s="7" t="s">
        <v>986</v>
      </c>
      <c r="D141" s="76" t="s">
        <v>1123</v>
      </c>
      <c r="E141" s="7" t="s">
        <v>1125</v>
      </c>
      <c r="G141" s="86" t="s">
        <v>1121</v>
      </c>
      <c r="H141" s="6"/>
    </row>
    <row r="142" spans="1:8" s="2" customFormat="1" ht="17.100000000000001" customHeight="1" thickBot="1" x14ac:dyDescent="0.25">
      <c r="A142" s="5" t="s">
        <v>47</v>
      </c>
      <c r="B142" s="5" t="s">
        <v>7</v>
      </c>
      <c r="C142" s="11" t="s">
        <v>1003</v>
      </c>
      <c r="D142" s="75">
        <v>42554</v>
      </c>
      <c r="E142" s="11" t="s">
        <v>1123</v>
      </c>
      <c r="F142" s="1"/>
      <c r="G142" s="82" t="s">
        <v>1121</v>
      </c>
      <c r="H142" s="5"/>
    </row>
    <row r="143" spans="1:8" ht="17.100000000000001" customHeight="1" thickBot="1" x14ac:dyDescent="0.25">
      <c r="A143" s="5" t="s">
        <v>47</v>
      </c>
      <c r="B143" s="5" t="s">
        <v>7</v>
      </c>
      <c r="C143" s="11" t="s">
        <v>275</v>
      </c>
      <c r="D143" s="75">
        <v>42554</v>
      </c>
      <c r="E143" s="11" t="s">
        <v>1123</v>
      </c>
      <c r="G143" s="82" t="s">
        <v>1123</v>
      </c>
      <c r="H143" s="5"/>
    </row>
    <row r="144" spans="1:8" ht="17.100000000000001" customHeight="1" thickBot="1" x14ac:dyDescent="0.25">
      <c r="A144" s="5" t="s">
        <v>47</v>
      </c>
      <c r="B144" s="5" t="s">
        <v>7</v>
      </c>
      <c r="C144" s="11" t="s">
        <v>276</v>
      </c>
      <c r="D144" s="75">
        <v>42554</v>
      </c>
      <c r="E144" s="11" t="s">
        <v>1123</v>
      </c>
      <c r="G144" s="82" t="s">
        <v>1123</v>
      </c>
      <c r="H144" s="5"/>
    </row>
    <row r="145" spans="1:8" ht="17.100000000000001" customHeight="1" thickBot="1" x14ac:dyDescent="0.25">
      <c r="A145" s="5" t="s">
        <v>47</v>
      </c>
      <c r="B145" s="5" t="s">
        <v>7</v>
      </c>
      <c r="C145" s="11" t="s">
        <v>1004</v>
      </c>
      <c r="D145" s="75">
        <v>42554</v>
      </c>
      <c r="E145" s="11" t="s">
        <v>1123</v>
      </c>
      <c r="G145" s="82" t="s">
        <v>1123</v>
      </c>
      <c r="H145" s="5"/>
    </row>
    <row r="146" spans="1:8" ht="17.100000000000001" customHeight="1" thickBot="1" x14ac:dyDescent="0.25">
      <c r="A146" s="5" t="s">
        <v>47</v>
      </c>
      <c r="B146" s="5" t="s">
        <v>7</v>
      </c>
      <c r="C146" s="11" t="s">
        <v>1005</v>
      </c>
      <c r="D146" s="75">
        <v>42554</v>
      </c>
      <c r="E146" s="11" t="s">
        <v>1122</v>
      </c>
      <c r="G146" s="82" t="s">
        <v>1123</v>
      </c>
      <c r="H146" s="5"/>
    </row>
    <row r="147" spans="1:8" s="28" customFormat="1" ht="17.100000000000001" customHeight="1" thickBot="1" x14ac:dyDescent="0.25">
      <c r="A147" s="5" t="s">
        <v>47</v>
      </c>
      <c r="B147" s="5" t="s">
        <v>7</v>
      </c>
      <c r="C147" s="11" t="s">
        <v>1006</v>
      </c>
      <c r="D147" s="75">
        <v>42554</v>
      </c>
      <c r="E147" s="11" t="s">
        <v>1122</v>
      </c>
      <c r="F147" s="1"/>
      <c r="G147" s="82" t="s">
        <v>1123</v>
      </c>
      <c r="H147" s="5"/>
    </row>
    <row r="148" spans="1:8" s="2" customFormat="1" ht="17.100000000000001" customHeight="1" thickBot="1" x14ac:dyDescent="0.25">
      <c r="A148" s="5" t="s">
        <v>47</v>
      </c>
      <c r="B148" s="5" t="s">
        <v>7</v>
      </c>
      <c r="C148" s="11" t="s">
        <v>1007</v>
      </c>
      <c r="D148" s="75">
        <v>42554</v>
      </c>
      <c r="E148" s="11" t="s">
        <v>1123</v>
      </c>
      <c r="F148" s="1"/>
      <c r="G148" s="82" t="s">
        <v>1122</v>
      </c>
      <c r="H148" s="5"/>
    </row>
    <row r="149" spans="1:8" s="73" customFormat="1" ht="17.100000000000001" customHeight="1" thickBot="1" x14ac:dyDescent="0.25">
      <c r="A149" s="5" t="s">
        <v>47</v>
      </c>
      <c r="B149" s="5" t="s">
        <v>561</v>
      </c>
      <c r="C149" s="11" t="s">
        <v>282</v>
      </c>
      <c r="D149" s="75">
        <v>42555</v>
      </c>
      <c r="E149" s="11" t="s">
        <v>1123</v>
      </c>
      <c r="F149" s="1"/>
      <c r="G149" s="82" t="s">
        <v>1123</v>
      </c>
      <c r="H149" s="5"/>
    </row>
    <row r="150" spans="1:8" s="2" customFormat="1" ht="17.100000000000001" customHeight="1" thickBot="1" x14ac:dyDescent="0.25">
      <c r="A150" s="5" t="s">
        <v>47</v>
      </c>
      <c r="B150" s="5" t="s">
        <v>933</v>
      </c>
      <c r="C150" s="11" t="s">
        <v>934</v>
      </c>
      <c r="D150" s="75">
        <v>42559</v>
      </c>
      <c r="E150" s="11" t="s">
        <v>1123</v>
      </c>
      <c r="F150" s="1"/>
      <c r="G150" s="82" t="s">
        <v>1123</v>
      </c>
      <c r="H150" s="5"/>
    </row>
    <row r="151" spans="1:8" s="2" customFormat="1" ht="17.100000000000001" customHeight="1" thickBot="1" x14ac:dyDescent="0.25">
      <c r="A151" s="6" t="s">
        <v>52</v>
      </c>
      <c r="B151" s="6" t="s">
        <v>7</v>
      </c>
      <c r="C151" s="7" t="s">
        <v>278</v>
      </c>
      <c r="D151" s="76">
        <v>42545</v>
      </c>
      <c r="E151" s="7" t="s">
        <v>1123</v>
      </c>
      <c r="F151" s="1"/>
      <c r="G151" s="86" t="s">
        <v>1123</v>
      </c>
      <c r="H151" s="6"/>
    </row>
    <row r="152" spans="1:8" s="2" customFormat="1" ht="17.100000000000001" customHeight="1" thickBot="1" x14ac:dyDescent="0.25">
      <c r="A152" s="6" t="s">
        <v>52</v>
      </c>
      <c r="B152" s="6" t="s">
        <v>7</v>
      </c>
      <c r="C152" s="7" t="s">
        <v>1108</v>
      </c>
      <c r="D152" s="76">
        <v>42545</v>
      </c>
      <c r="E152" s="7" t="s">
        <v>1153</v>
      </c>
      <c r="F152" s="1"/>
      <c r="G152" s="86" t="s">
        <v>1123</v>
      </c>
      <c r="H152" s="6"/>
    </row>
    <row r="153" spans="1:8" s="2" customFormat="1" ht="17.100000000000001" customHeight="1" thickBot="1" x14ac:dyDescent="0.25">
      <c r="A153" s="6" t="s">
        <v>52</v>
      </c>
      <c r="B153" s="6" t="s">
        <v>7</v>
      </c>
      <c r="C153" s="7" t="s">
        <v>1012</v>
      </c>
      <c r="D153" s="76">
        <v>42545</v>
      </c>
      <c r="E153" s="7" t="s">
        <v>1123</v>
      </c>
      <c r="F153" s="1"/>
      <c r="G153" s="86" t="s">
        <v>1123</v>
      </c>
      <c r="H153" s="6"/>
    </row>
    <row r="154" spans="1:8" ht="17.100000000000001" customHeight="1" thickBot="1" x14ac:dyDescent="0.25">
      <c r="A154" s="6" t="s">
        <v>52</v>
      </c>
      <c r="B154" s="6" t="s">
        <v>7</v>
      </c>
      <c r="C154" s="7" t="s">
        <v>279</v>
      </c>
      <c r="D154" s="76">
        <v>42545</v>
      </c>
      <c r="E154" s="7" t="s">
        <v>1123</v>
      </c>
      <c r="G154" s="86" t="s">
        <v>1138</v>
      </c>
      <c r="H154" s="6"/>
    </row>
    <row r="155" spans="1:8" ht="17.100000000000001" customHeight="1" thickBot="1" x14ac:dyDescent="0.25">
      <c r="A155" s="6" t="s">
        <v>52</v>
      </c>
      <c r="B155" s="6" t="s">
        <v>53</v>
      </c>
      <c r="C155" s="7" t="s">
        <v>1013</v>
      </c>
      <c r="D155" s="76">
        <v>42545</v>
      </c>
      <c r="E155" s="7" t="s">
        <v>1123</v>
      </c>
      <c r="G155" s="86" t="s">
        <v>1155</v>
      </c>
      <c r="H155" s="6"/>
    </row>
    <row r="156" spans="1:8" s="2" customFormat="1" ht="17.100000000000001" customHeight="1" thickBot="1" x14ac:dyDescent="0.25">
      <c r="A156" s="6" t="s">
        <v>52</v>
      </c>
      <c r="B156" s="6" t="s">
        <v>53</v>
      </c>
      <c r="C156" s="7" t="s">
        <v>1014</v>
      </c>
      <c r="D156" s="76">
        <v>42545</v>
      </c>
      <c r="E156" s="7" t="s">
        <v>1154</v>
      </c>
      <c r="F156" s="1"/>
      <c r="G156" s="86" t="s">
        <v>1123</v>
      </c>
      <c r="H156" s="6"/>
    </row>
    <row r="157" spans="1:8" s="2" customFormat="1" ht="17.100000000000001" customHeight="1" thickBot="1" x14ac:dyDescent="0.25">
      <c r="A157" s="6" t="s">
        <v>52</v>
      </c>
      <c r="B157" s="6" t="s">
        <v>54</v>
      </c>
      <c r="C157" s="7" t="s">
        <v>281</v>
      </c>
      <c r="D157" s="76">
        <v>42545</v>
      </c>
      <c r="E157" s="7" t="s">
        <v>1123</v>
      </c>
      <c r="F157" s="1"/>
      <c r="G157" s="86" t="s">
        <v>1123</v>
      </c>
      <c r="H157" s="6"/>
    </row>
    <row r="158" spans="1:8" ht="16.5" customHeight="1" thickBot="1" x14ac:dyDescent="0.25">
      <c r="A158" s="5" t="s">
        <v>21</v>
      </c>
      <c r="B158" s="5" t="s">
        <v>7</v>
      </c>
      <c r="C158" s="11" t="s">
        <v>252</v>
      </c>
      <c r="D158" s="75">
        <v>42545</v>
      </c>
      <c r="E158" s="11" t="s">
        <v>1127</v>
      </c>
      <c r="G158" s="82" t="s">
        <v>1123</v>
      </c>
      <c r="H158" s="5"/>
    </row>
    <row r="159" spans="1:8" ht="17.100000000000001" customHeight="1" thickBot="1" x14ac:dyDescent="0.25">
      <c r="A159" s="5" t="s">
        <v>21</v>
      </c>
      <c r="B159" s="5" t="s">
        <v>7</v>
      </c>
      <c r="C159" s="11" t="s">
        <v>969</v>
      </c>
      <c r="D159" s="75">
        <v>42551</v>
      </c>
      <c r="E159" s="11" t="s">
        <v>1123</v>
      </c>
      <c r="G159" s="82" t="s">
        <v>1122</v>
      </c>
      <c r="H159" s="5"/>
    </row>
    <row r="160" spans="1:8" ht="17.100000000000001" customHeight="1" thickBot="1" x14ac:dyDescent="0.25">
      <c r="A160" s="6" t="s">
        <v>171</v>
      </c>
      <c r="B160" s="6" t="s">
        <v>7</v>
      </c>
      <c r="C160" s="7" t="s">
        <v>879</v>
      </c>
      <c r="D160" s="76">
        <v>42545</v>
      </c>
      <c r="E160" s="7" t="s">
        <v>1123</v>
      </c>
      <c r="G160" s="86" t="s">
        <v>1121</v>
      </c>
      <c r="H160" s="6"/>
    </row>
    <row r="161" spans="1:8" s="2" customFormat="1" ht="17.100000000000001" customHeight="1" thickBot="1" x14ac:dyDescent="0.25">
      <c r="A161" s="6" t="s">
        <v>171</v>
      </c>
      <c r="B161" s="6" t="s">
        <v>7</v>
      </c>
      <c r="C161" s="7" t="s">
        <v>430</v>
      </c>
      <c r="D161" s="76">
        <v>42545</v>
      </c>
      <c r="E161" s="7" t="s">
        <v>1121</v>
      </c>
      <c r="F161" s="1"/>
      <c r="G161" s="86" t="s">
        <v>1123</v>
      </c>
      <c r="H161" s="6"/>
    </row>
    <row r="162" spans="1:8" s="2" customFormat="1" ht="17.100000000000001" customHeight="1" thickBot="1" x14ac:dyDescent="0.25">
      <c r="A162" s="6" t="s">
        <v>171</v>
      </c>
      <c r="B162" s="6" t="s">
        <v>7</v>
      </c>
      <c r="C162" s="7" t="s">
        <v>874</v>
      </c>
      <c r="D162" s="76">
        <v>42545</v>
      </c>
      <c r="E162" s="7" t="s">
        <v>1123</v>
      </c>
      <c r="F162" s="1"/>
      <c r="G162" s="86" t="s">
        <v>1123</v>
      </c>
      <c r="H162" s="6"/>
    </row>
    <row r="163" spans="1:8" s="2" customFormat="1" ht="17.100000000000001" customHeight="1" thickBot="1" x14ac:dyDescent="0.25">
      <c r="A163" s="6" t="s">
        <v>171</v>
      </c>
      <c r="B163" s="6" t="s">
        <v>546</v>
      </c>
      <c r="C163" s="7" t="s">
        <v>547</v>
      </c>
      <c r="D163" s="76">
        <v>42545</v>
      </c>
      <c r="E163" s="7" t="s">
        <v>1122</v>
      </c>
      <c r="F163" s="1"/>
      <c r="G163" s="7" t="s">
        <v>1122</v>
      </c>
      <c r="H163" s="6"/>
    </row>
    <row r="164" spans="1:8" s="2" customFormat="1" ht="17.100000000000001" customHeight="1" thickBot="1" x14ac:dyDescent="0.25">
      <c r="A164" s="5" t="s">
        <v>56</v>
      </c>
      <c r="B164" s="5" t="s">
        <v>7</v>
      </c>
      <c r="C164" s="11" t="s">
        <v>286</v>
      </c>
      <c r="D164" s="75">
        <v>42552</v>
      </c>
      <c r="E164" s="11" t="s">
        <v>1123</v>
      </c>
      <c r="F164" s="1"/>
      <c r="G164" s="82" t="s">
        <v>1123</v>
      </c>
      <c r="H164" s="5"/>
    </row>
    <row r="165" spans="1:8" s="2" customFormat="1" ht="17.100000000000001" customHeight="1" thickBot="1" x14ac:dyDescent="0.25">
      <c r="A165" s="5" t="s">
        <v>56</v>
      </c>
      <c r="B165" s="5" t="s">
        <v>7</v>
      </c>
      <c r="C165" s="11" t="s">
        <v>219</v>
      </c>
      <c r="D165" s="75">
        <v>42552</v>
      </c>
      <c r="E165" s="11" t="s">
        <v>1121</v>
      </c>
      <c r="F165" s="1"/>
      <c r="G165" s="82" t="s">
        <v>1123</v>
      </c>
      <c r="H165" s="5"/>
    </row>
    <row r="166" spans="1:8" s="2" customFormat="1" ht="17.100000000000001" customHeight="1" thickBot="1" x14ac:dyDescent="0.25">
      <c r="A166" s="5" t="s">
        <v>56</v>
      </c>
      <c r="B166" s="5" t="s">
        <v>7</v>
      </c>
      <c r="C166" s="11" t="s">
        <v>570</v>
      </c>
      <c r="D166" s="75">
        <v>42552</v>
      </c>
      <c r="E166" s="11" t="s">
        <v>1122</v>
      </c>
      <c r="F166" s="1"/>
      <c r="G166" s="82" t="s">
        <v>1123</v>
      </c>
      <c r="H166" s="5"/>
    </row>
    <row r="167" spans="1:8" s="2" customFormat="1" ht="17.100000000000001" customHeight="1" thickBot="1" x14ac:dyDescent="0.25">
      <c r="A167" s="5" t="s">
        <v>56</v>
      </c>
      <c r="B167" s="5" t="s">
        <v>7</v>
      </c>
      <c r="C167" s="11" t="s">
        <v>571</v>
      </c>
      <c r="D167" s="75">
        <v>42552</v>
      </c>
      <c r="E167" s="11" t="s">
        <v>1123</v>
      </c>
      <c r="F167" s="1"/>
      <c r="G167" s="82" t="s">
        <v>1123</v>
      </c>
      <c r="H167" s="5"/>
    </row>
    <row r="168" spans="1:8" s="2" customFormat="1" ht="17.100000000000001" customHeight="1" thickBot="1" x14ac:dyDescent="0.25">
      <c r="A168" s="5" t="s">
        <v>56</v>
      </c>
      <c r="B168" s="5" t="s">
        <v>7</v>
      </c>
      <c r="C168" s="11" t="s">
        <v>572</v>
      </c>
      <c r="D168" s="75">
        <v>42552</v>
      </c>
      <c r="E168" s="11" t="s">
        <v>1123</v>
      </c>
      <c r="F168" s="1"/>
      <c r="G168" s="82" t="s">
        <v>1123</v>
      </c>
      <c r="H168" s="5"/>
    </row>
    <row r="169" spans="1:8" ht="17.100000000000001" customHeight="1" thickBot="1" x14ac:dyDescent="0.25">
      <c r="A169" s="5" t="s">
        <v>56</v>
      </c>
      <c r="B169" s="5" t="s">
        <v>7</v>
      </c>
      <c r="C169" s="11" t="s">
        <v>573</v>
      </c>
      <c r="D169" s="75">
        <v>42552</v>
      </c>
      <c r="E169" s="11" t="s">
        <v>1123</v>
      </c>
      <c r="G169" s="82" t="s">
        <v>1123</v>
      </c>
      <c r="H169" s="5"/>
    </row>
    <row r="170" spans="1:8" s="2" customFormat="1" ht="17.100000000000001" customHeight="1" thickBot="1" x14ac:dyDescent="0.25">
      <c r="A170" s="5" t="s">
        <v>56</v>
      </c>
      <c r="B170" s="5" t="s">
        <v>7</v>
      </c>
      <c r="C170" s="11" t="s">
        <v>889</v>
      </c>
      <c r="D170" s="75">
        <v>42552</v>
      </c>
      <c r="E170" s="11" t="s">
        <v>1123</v>
      </c>
      <c r="F170" s="1"/>
      <c r="G170" s="82" t="s">
        <v>1122</v>
      </c>
      <c r="H170" s="5"/>
    </row>
    <row r="171" spans="1:8" s="2" customFormat="1" ht="17.100000000000001" customHeight="1" thickBot="1" x14ac:dyDescent="0.25">
      <c r="A171" s="5" t="s">
        <v>56</v>
      </c>
      <c r="B171" s="5" t="s">
        <v>57</v>
      </c>
      <c r="C171" s="11" t="s">
        <v>288</v>
      </c>
      <c r="D171" s="75">
        <v>42552</v>
      </c>
      <c r="E171" s="11" t="s">
        <v>1123</v>
      </c>
      <c r="F171" s="1"/>
      <c r="G171" s="82" t="s">
        <v>1123</v>
      </c>
      <c r="H171" s="5"/>
    </row>
    <row r="172" spans="1:8" s="2" customFormat="1" ht="17.100000000000001" customHeight="1" thickBot="1" x14ac:dyDescent="0.25">
      <c r="A172" s="5" t="s">
        <v>56</v>
      </c>
      <c r="B172" s="5" t="s">
        <v>58</v>
      </c>
      <c r="C172" s="11" t="s">
        <v>289</v>
      </c>
      <c r="D172" s="75">
        <v>42552</v>
      </c>
      <c r="E172" s="11" t="s">
        <v>1123</v>
      </c>
      <c r="F172" s="1"/>
      <c r="G172" s="82" t="s">
        <v>1123</v>
      </c>
      <c r="H172" s="5"/>
    </row>
    <row r="173" spans="1:8" ht="17.100000000000001" customHeight="1" thickBot="1" x14ac:dyDescent="0.25">
      <c r="A173" s="5" t="s">
        <v>56</v>
      </c>
      <c r="B173" s="5" t="s">
        <v>59</v>
      </c>
      <c r="C173" s="11" t="s">
        <v>290</v>
      </c>
      <c r="D173" s="75">
        <v>42552</v>
      </c>
      <c r="E173" s="11" t="s">
        <v>1123</v>
      </c>
      <c r="G173" s="82" t="s">
        <v>1123</v>
      </c>
      <c r="H173" s="5"/>
    </row>
    <row r="174" spans="1:8" s="2" customFormat="1" ht="17.100000000000001" customHeight="1" thickBot="1" x14ac:dyDescent="0.25">
      <c r="A174" s="5" t="s">
        <v>56</v>
      </c>
      <c r="B174" s="5" t="s">
        <v>59</v>
      </c>
      <c r="C174" s="11" t="s">
        <v>574</v>
      </c>
      <c r="D174" s="75">
        <v>42552</v>
      </c>
      <c r="E174" s="11" t="s">
        <v>1123</v>
      </c>
      <c r="F174" s="1"/>
      <c r="G174" s="82" t="s">
        <v>1123</v>
      </c>
      <c r="H174" s="5"/>
    </row>
    <row r="175" spans="1:8" s="2" customFormat="1" ht="17.100000000000001" customHeight="1" thickBot="1" x14ac:dyDescent="0.25">
      <c r="A175" s="5" t="s">
        <v>56</v>
      </c>
      <c r="B175" s="5" t="s">
        <v>60</v>
      </c>
      <c r="C175" s="11" t="s">
        <v>297</v>
      </c>
      <c r="D175" s="75">
        <v>42566</v>
      </c>
      <c r="E175" s="11" t="s">
        <v>1123</v>
      </c>
      <c r="F175" s="1"/>
      <c r="G175" s="82" t="s">
        <v>1123</v>
      </c>
      <c r="H175" s="5"/>
    </row>
    <row r="176" spans="1:8" s="2" customFormat="1" ht="17.100000000000001" customHeight="1" thickBot="1" x14ac:dyDescent="0.25">
      <c r="A176" s="6" t="s">
        <v>71</v>
      </c>
      <c r="B176" s="6" t="s">
        <v>7</v>
      </c>
      <c r="C176" s="7" t="s">
        <v>516</v>
      </c>
      <c r="D176" s="76">
        <v>42551</v>
      </c>
      <c r="E176" s="7"/>
      <c r="F176" s="1"/>
      <c r="G176" s="86" t="s">
        <v>1121</v>
      </c>
      <c r="H176" s="6"/>
    </row>
    <row r="177" spans="1:8" ht="17.100000000000001" customHeight="1" thickBot="1" x14ac:dyDescent="0.25">
      <c r="A177" s="6" t="s">
        <v>71</v>
      </c>
      <c r="B177" s="6" t="s">
        <v>7</v>
      </c>
      <c r="C177" s="7" t="s">
        <v>1129</v>
      </c>
      <c r="D177" s="76">
        <v>42551</v>
      </c>
      <c r="E177" s="7" t="s">
        <v>1125</v>
      </c>
      <c r="G177" s="86"/>
      <c r="H177" s="6"/>
    </row>
    <row r="178" spans="1:8" s="2" customFormat="1" ht="17.100000000000001" customHeight="1" thickBot="1" x14ac:dyDescent="0.25">
      <c r="A178" s="6" t="s">
        <v>71</v>
      </c>
      <c r="B178" s="6" t="s">
        <v>7</v>
      </c>
      <c r="C178" s="7" t="s">
        <v>301</v>
      </c>
      <c r="D178" s="76">
        <v>42551</v>
      </c>
      <c r="E178" s="7"/>
      <c r="F178" s="1"/>
      <c r="G178" s="86"/>
      <c r="H178" s="6"/>
    </row>
    <row r="179" spans="1:8" ht="17.100000000000001" customHeight="1" thickBot="1" x14ac:dyDescent="0.25">
      <c r="A179" s="6" t="s">
        <v>71</v>
      </c>
      <c r="B179" s="6" t="s">
        <v>7</v>
      </c>
      <c r="C179" s="7" t="s">
        <v>1020</v>
      </c>
      <c r="D179" s="76">
        <v>42551</v>
      </c>
      <c r="E179" s="103" t="s">
        <v>1122</v>
      </c>
      <c r="F179" s="104"/>
      <c r="G179" s="105"/>
      <c r="H179" s="6" t="s">
        <v>1163</v>
      </c>
    </row>
    <row r="180" spans="1:8" s="2" customFormat="1" ht="17.100000000000001" customHeight="1" thickBot="1" x14ac:dyDescent="0.25">
      <c r="A180" s="5" t="s">
        <v>38</v>
      </c>
      <c r="B180" s="5" t="s">
        <v>7</v>
      </c>
      <c r="C180" s="11" t="s">
        <v>990</v>
      </c>
      <c r="D180" s="75">
        <v>42551</v>
      </c>
      <c r="E180" s="11" t="s">
        <v>1123</v>
      </c>
      <c r="F180" s="1"/>
      <c r="G180" s="82" t="s">
        <v>1123</v>
      </c>
      <c r="H180" s="5"/>
    </row>
    <row r="181" spans="1:8" s="2" customFormat="1" ht="17.100000000000001" customHeight="1" thickBot="1" x14ac:dyDescent="0.25">
      <c r="A181" s="5" t="s">
        <v>38</v>
      </c>
      <c r="B181" s="5" t="s">
        <v>7</v>
      </c>
      <c r="C181" s="11" t="s">
        <v>991</v>
      </c>
      <c r="D181" s="75">
        <v>42551</v>
      </c>
      <c r="E181" s="11" t="s">
        <v>1123</v>
      </c>
      <c r="F181" s="1"/>
      <c r="G181" s="82" t="s">
        <v>1123</v>
      </c>
      <c r="H181" s="5"/>
    </row>
    <row r="182" spans="1:8" ht="17.100000000000001" customHeight="1" thickBot="1" x14ac:dyDescent="0.25">
      <c r="A182" s="5" t="s">
        <v>38</v>
      </c>
      <c r="B182" s="5" t="s">
        <v>7</v>
      </c>
      <c r="C182" s="11" t="s">
        <v>992</v>
      </c>
      <c r="D182" s="75">
        <v>42551</v>
      </c>
      <c r="E182" s="11" t="s">
        <v>1121</v>
      </c>
      <c r="G182" s="82" t="s">
        <v>1123</v>
      </c>
      <c r="H182" s="5"/>
    </row>
    <row r="183" spans="1:8" ht="17.100000000000001" customHeight="1" thickBot="1" x14ac:dyDescent="0.25">
      <c r="A183" s="5" t="s">
        <v>38</v>
      </c>
      <c r="B183" s="5" t="s">
        <v>7</v>
      </c>
      <c r="C183" s="11" t="s">
        <v>904</v>
      </c>
      <c r="D183" s="75">
        <v>42551</v>
      </c>
      <c r="E183" s="11" t="s">
        <v>1123</v>
      </c>
      <c r="G183" s="82" t="s">
        <v>1123</v>
      </c>
      <c r="H183" s="5"/>
    </row>
    <row r="184" spans="1:8" ht="17.100000000000001" customHeight="1" thickBot="1" x14ac:dyDescent="0.25">
      <c r="A184" s="5" t="s">
        <v>38</v>
      </c>
      <c r="B184" s="5" t="s">
        <v>7</v>
      </c>
      <c r="C184" s="11" t="s">
        <v>905</v>
      </c>
      <c r="D184" s="75">
        <v>42551</v>
      </c>
      <c r="E184" s="11" t="s">
        <v>1123</v>
      </c>
      <c r="G184" s="82" t="s">
        <v>1122</v>
      </c>
      <c r="H184" s="5"/>
    </row>
    <row r="185" spans="1:8" s="2" customFormat="1" ht="17.100000000000001" customHeight="1" thickBot="1" x14ac:dyDescent="0.25">
      <c r="A185" s="5" t="s">
        <v>38</v>
      </c>
      <c r="B185" s="5" t="s">
        <v>7</v>
      </c>
      <c r="C185" s="11" t="s">
        <v>993</v>
      </c>
      <c r="D185" s="75">
        <v>42551</v>
      </c>
      <c r="E185" s="11" t="s">
        <v>1123</v>
      </c>
      <c r="F185" s="1" t="s">
        <v>1123</v>
      </c>
      <c r="G185" s="82" t="s">
        <v>1123</v>
      </c>
      <c r="H185" s="5"/>
    </row>
    <row r="186" spans="1:8" ht="17.100000000000001" customHeight="1" thickBot="1" x14ac:dyDescent="0.25">
      <c r="A186" s="5" t="s">
        <v>38</v>
      </c>
      <c r="B186" s="5" t="s">
        <v>39</v>
      </c>
      <c r="C186" s="11" t="s">
        <v>268</v>
      </c>
      <c r="D186" s="75">
        <v>42551</v>
      </c>
      <c r="E186" s="11" t="s">
        <v>1123</v>
      </c>
      <c r="G186" s="82" t="s">
        <v>1123</v>
      </c>
      <c r="H186" s="5"/>
    </row>
    <row r="187" spans="1:8" s="2" customFormat="1" ht="17.100000000000001" customHeight="1" thickBot="1" x14ac:dyDescent="0.25">
      <c r="A187" s="5" t="s">
        <v>38</v>
      </c>
      <c r="B187" s="5" t="s">
        <v>40</v>
      </c>
      <c r="C187" s="11" t="s">
        <v>272</v>
      </c>
      <c r="D187" s="75">
        <v>42551</v>
      </c>
      <c r="E187" s="11" t="s">
        <v>1123</v>
      </c>
      <c r="F187" s="1"/>
      <c r="G187" s="82" t="s">
        <v>1123</v>
      </c>
      <c r="H187" s="5"/>
    </row>
    <row r="188" spans="1:8" ht="17.100000000000001" customHeight="1" thickBot="1" x14ac:dyDescent="0.25">
      <c r="A188" s="6" t="s">
        <v>76</v>
      </c>
      <c r="B188" s="6" t="s">
        <v>7</v>
      </c>
      <c r="C188" s="7" t="s">
        <v>306</v>
      </c>
      <c r="D188" s="76">
        <v>42552</v>
      </c>
      <c r="E188" s="7" t="s">
        <v>1122</v>
      </c>
      <c r="G188" s="86" t="s">
        <v>1123</v>
      </c>
      <c r="H188" s="6"/>
    </row>
    <row r="189" spans="1:8" ht="17.100000000000001" customHeight="1" thickBot="1" x14ac:dyDescent="0.25">
      <c r="A189" s="6" t="s">
        <v>76</v>
      </c>
      <c r="B189" s="6" t="s">
        <v>7</v>
      </c>
      <c r="C189" s="7" t="s">
        <v>1026</v>
      </c>
      <c r="D189" s="76">
        <v>42536</v>
      </c>
      <c r="E189" s="7" t="s">
        <v>1123</v>
      </c>
      <c r="G189" s="86" t="s">
        <v>1123</v>
      </c>
      <c r="H189" s="6"/>
    </row>
    <row r="190" spans="1:8" s="2" customFormat="1" ht="17.100000000000001" customHeight="1" thickBot="1" x14ac:dyDescent="0.25">
      <c r="A190" s="6" t="s">
        <v>76</v>
      </c>
      <c r="B190" s="6" t="s">
        <v>7</v>
      </c>
      <c r="C190" s="7" t="s">
        <v>307</v>
      </c>
      <c r="D190" s="76">
        <v>42536</v>
      </c>
      <c r="E190" s="7" t="s">
        <v>1123</v>
      </c>
      <c r="F190" s="1"/>
      <c r="G190" s="86" t="s">
        <v>1123</v>
      </c>
      <c r="H190" s="6"/>
    </row>
    <row r="191" spans="1:8" ht="17.100000000000001" customHeight="1" thickBot="1" x14ac:dyDescent="0.25">
      <c r="A191" s="6" t="s">
        <v>76</v>
      </c>
      <c r="B191" s="6" t="s">
        <v>7</v>
      </c>
      <c r="C191" s="7" t="s">
        <v>1027</v>
      </c>
      <c r="D191" s="76">
        <v>42552</v>
      </c>
      <c r="E191" s="7" t="s">
        <v>1123</v>
      </c>
      <c r="G191" s="86" t="s">
        <v>1122</v>
      </c>
      <c r="H191" s="6"/>
    </row>
    <row r="192" spans="1:8" ht="17.100000000000001" customHeight="1" thickBot="1" x14ac:dyDescent="0.25">
      <c r="A192" s="6" t="s">
        <v>76</v>
      </c>
      <c r="B192" s="6" t="s">
        <v>7</v>
      </c>
      <c r="C192" s="7" t="s">
        <v>1028</v>
      </c>
      <c r="D192" s="76">
        <v>42536</v>
      </c>
      <c r="E192" s="7" t="s">
        <v>1123</v>
      </c>
      <c r="G192" s="86" t="s">
        <v>1123</v>
      </c>
      <c r="H192" s="6"/>
    </row>
    <row r="193" spans="1:8" s="2" customFormat="1" ht="17.100000000000001" customHeight="1" thickBot="1" x14ac:dyDescent="0.25">
      <c r="A193" s="6" t="s">
        <v>76</v>
      </c>
      <c r="B193" s="6" t="s">
        <v>77</v>
      </c>
      <c r="C193" s="7" t="s">
        <v>1029</v>
      </c>
      <c r="D193" s="76">
        <v>42536</v>
      </c>
      <c r="E193" s="7" t="s">
        <v>1123</v>
      </c>
      <c r="F193" s="1"/>
      <c r="G193" s="86" t="s">
        <v>1123</v>
      </c>
      <c r="H193" s="6"/>
    </row>
    <row r="194" spans="1:8" ht="17.100000000000001" customHeight="1" thickBot="1" x14ac:dyDescent="0.25">
      <c r="A194" s="6" t="s">
        <v>76</v>
      </c>
      <c r="B194" s="6" t="s">
        <v>78</v>
      </c>
      <c r="C194" s="7" t="s">
        <v>311</v>
      </c>
      <c r="D194" s="76">
        <v>42536</v>
      </c>
      <c r="E194" s="7" t="s">
        <v>1123</v>
      </c>
      <c r="G194" s="86" t="s">
        <v>1123</v>
      </c>
      <c r="H194" s="6"/>
    </row>
    <row r="195" spans="1:8" ht="17.100000000000001" customHeight="1" thickBot="1" x14ac:dyDescent="0.25">
      <c r="A195" s="6" t="s">
        <v>76</v>
      </c>
      <c r="B195" s="6" t="s">
        <v>78</v>
      </c>
      <c r="C195" s="7" t="s">
        <v>1030</v>
      </c>
      <c r="D195" s="76">
        <v>42536</v>
      </c>
      <c r="E195" s="7" t="s">
        <v>1123</v>
      </c>
      <c r="G195" s="86" t="s">
        <v>1123</v>
      </c>
      <c r="H195" s="6"/>
    </row>
    <row r="196" spans="1:8" ht="17.100000000000001" customHeight="1" thickBot="1" x14ac:dyDescent="0.25">
      <c r="A196" s="6" t="s">
        <v>76</v>
      </c>
      <c r="B196" s="6" t="s">
        <v>79</v>
      </c>
      <c r="C196" s="7" t="s">
        <v>316</v>
      </c>
      <c r="D196" s="76">
        <v>42536</v>
      </c>
      <c r="E196" s="7" t="s">
        <v>1123</v>
      </c>
      <c r="G196" s="86" t="s">
        <v>1123</v>
      </c>
      <c r="H196" s="6"/>
    </row>
    <row r="197" spans="1:8" ht="17.100000000000001" customHeight="1" thickBot="1" x14ac:dyDescent="0.25">
      <c r="A197" s="5" t="s">
        <v>163</v>
      </c>
      <c r="B197" s="5" t="s">
        <v>7</v>
      </c>
      <c r="C197" s="11" t="s">
        <v>529</v>
      </c>
      <c r="D197" s="75">
        <v>42534</v>
      </c>
      <c r="E197" s="11" t="s">
        <v>1123</v>
      </c>
      <c r="G197" s="82" t="s">
        <v>1123</v>
      </c>
      <c r="H197" s="5"/>
    </row>
    <row r="198" spans="1:8" ht="17.100000000000001" customHeight="1" thickBot="1" x14ac:dyDescent="0.25">
      <c r="A198" s="5" t="s">
        <v>163</v>
      </c>
      <c r="B198" s="5" t="s">
        <v>7</v>
      </c>
      <c r="C198" s="11" t="s">
        <v>575</v>
      </c>
      <c r="D198" s="75">
        <v>42534</v>
      </c>
      <c r="E198" s="11" t="s">
        <v>1123</v>
      </c>
      <c r="G198" s="82" t="s">
        <v>1123</v>
      </c>
      <c r="H198" s="5"/>
    </row>
    <row r="199" spans="1:8" ht="17.100000000000001" customHeight="1" thickBot="1" x14ac:dyDescent="0.25">
      <c r="A199" s="5" t="s">
        <v>163</v>
      </c>
      <c r="B199" s="5" t="s">
        <v>7</v>
      </c>
      <c r="C199" s="11" t="s">
        <v>890</v>
      </c>
      <c r="D199" s="75">
        <v>42534</v>
      </c>
      <c r="E199" s="11" t="s">
        <v>1123</v>
      </c>
      <c r="G199" s="82" t="s">
        <v>1123</v>
      </c>
      <c r="H199" s="5"/>
    </row>
    <row r="200" spans="1:8" ht="17.100000000000001" customHeight="1" thickBot="1" x14ac:dyDescent="0.25">
      <c r="A200" s="5" t="s">
        <v>163</v>
      </c>
      <c r="B200" s="5" t="s">
        <v>7</v>
      </c>
      <c r="C200" s="11" t="s">
        <v>417</v>
      </c>
      <c r="D200" s="75">
        <v>42534</v>
      </c>
      <c r="E200" s="11" t="s">
        <v>1123</v>
      </c>
      <c r="G200" s="82" t="s">
        <v>1154</v>
      </c>
      <c r="H200" s="5"/>
    </row>
    <row r="201" spans="1:8" ht="17.100000000000001" customHeight="1" thickBot="1" x14ac:dyDescent="0.25">
      <c r="A201" s="5" t="s">
        <v>163</v>
      </c>
      <c r="B201" s="5" t="s">
        <v>7</v>
      </c>
      <c r="C201" s="11" t="s">
        <v>418</v>
      </c>
      <c r="D201" s="75">
        <v>42534</v>
      </c>
      <c r="E201" s="11" t="s">
        <v>1154</v>
      </c>
      <c r="G201" s="82" t="s">
        <v>1123</v>
      </c>
      <c r="H201" s="5"/>
    </row>
    <row r="202" spans="1:8" ht="17.100000000000001" customHeight="1" thickBot="1" x14ac:dyDescent="0.25">
      <c r="A202" s="5" t="s">
        <v>163</v>
      </c>
      <c r="B202" s="5" t="s">
        <v>7</v>
      </c>
      <c r="C202" s="11" t="s">
        <v>927</v>
      </c>
      <c r="D202" s="75">
        <v>42534</v>
      </c>
      <c r="E202" s="11" t="s">
        <v>1123</v>
      </c>
      <c r="G202" s="82" t="s">
        <v>1123</v>
      </c>
      <c r="H202" s="5"/>
    </row>
    <row r="203" spans="1:8" ht="17.100000000000001" customHeight="1" thickBot="1" x14ac:dyDescent="0.25">
      <c r="A203" s="5" t="s">
        <v>163</v>
      </c>
      <c r="B203" s="5" t="s">
        <v>7</v>
      </c>
      <c r="C203" s="11" t="s">
        <v>928</v>
      </c>
      <c r="D203" s="75">
        <v>42534</v>
      </c>
      <c r="E203" s="11" t="s">
        <v>1123</v>
      </c>
      <c r="G203" s="82" t="s">
        <v>1123</v>
      </c>
      <c r="H203" s="5"/>
    </row>
    <row r="204" spans="1:8" ht="17.100000000000001" customHeight="1" thickBot="1" x14ac:dyDescent="0.25">
      <c r="A204" s="6" t="s">
        <v>95</v>
      </c>
      <c r="B204" s="6" t="s">
        <v>7</v>
      </c>
      <c r="C204" s="7" t="s">
        <v>1034</v>
      </c>
      <c r="D204" s="76">
        <v>42538</v>
      </c>
      <c r="E204" s="7" t="s">
        <v>1123</v>
      </c>
      <c r="G204" s="86" t="s">
        <v>1123</v>
      </c>
      <c r="H204" s="6"/>
    </row>
    <row r="205" spans="1:8" ht="17.100000000000001" customHeight="1" thickBot="1" x14ac:dyDescent="0.25">
      <c r="A205" s="6" t="s">
        <v>95</v>
      </c>
      <c r="B205" s="6" t="s">
        <v>7</v>
      </c>
      <c r="C205" s="7" t="s">
        <v>1035</v>
      </c>
      <c r="D205" s="76">
        <v>42538</v>
      </c>
      <c r="E205" s="7" t="s">
        <v>1123</v>
      </c>
      <c r="G205" s="86" t="s">
        <v>1123</v>
      </c>
      <c r="H205" s="6"/>
    </row>
    <row r="206" spans="1:8" ht="17.100000000000001" customHeight="1" thickBot="1" x14ac:dyDescent="0.25">
      <c r="A206" s="6" t="s">
        <v>95</v>
      </c>
      <c r="B206" s="6" t="s">
        <v>7</v>
      </c>
      <c r="C206" s="7" t="s">
        <v>1036</v>
      </c>
      <c r="D206" s="76">
        <v>42538</v>
      </c>
      <c r="E206" s="7" t="s">
        <v>1123</v>
      </c>
      <c r="G206" s="86" t="s">
        <v>1123</v>
      </c>
      <c r="H206" s="6"/>
    </row>
    <row r="207" spans="1:8" ht="17.100000000000001" customHeight="1" thickBot="1" x14ac:dyDescent="0.25">
      <c r="A207" s="6" t="s">
        <v>95</v>
      </c>
      <c r="B207" s="6" t="s">
        <v>7</v>
      </c>
      <c r="C207" s="7" t="s">
        <v>1037</v>
      </c>
      <c r="D207" s="76">
        <v>42538</v>
      </c>
      <c r="E207" s="7" t="s">
        <v>1121</v>
      </c>
      <c r="G207" s="86" t="s">
        <v>1123</v>
      </c>
      <c r="H207" s="6"/>
    </row>
    <row r="208" spans="1:8" s="2" customFormat="1" ht="17.100000000000001" customHeight="1" thickBot="1" x14ac:dyDescent="0.25">
      <c r="A208" s="6" t="s">
        <v>95</v>
      </c>
      <c r="B208" s="6" t="s">
        <v>7</v>
      </c>
      <c r="C208" s="7" t="s">
        <v>1038</v>
      </c>
      <c r="D208" s="76">
        <v>42538</v>
      </c>
      <c r="E208" s="7" t="s">
        <v>1123</v>
      </c>
      <c r="F208" s="1"/>
      <c r="G208" s="86" t="s">
        <v>1123</v>
      </c>
      <c r="H208" s="6"/>
    </row>
    <row r="209" spans="1:8" ht="17.100000000000001" customHeight="1" thickBot="1" x14ac:dyDescent="0.25">
      <c r="A209" s="6" t="s">
        <v>95</v>
      </c>
      <c r="B209" s="6" t="s">
        <v>7</v>
      </c>
      <c r="C209" s="7" t="s">
        <v>1039</v>
      </c>
      <c r="D209" s="76">
        <v>42538</v>
      </c>
      <c r="E209" s="7" t="s">
        <v>1123</v>
      </c>
      <c r="G209" s="86" t="s">
        <v>1125</v>
      </c>
      <c r="H209" s="6"/>
    </row>
    <row r="210" spans="1:8" ht="17.100000000000001" customHeight="1" thickBot="1" x14ac:dyDescent="0.25">
      <c r="A210" s="6" t="s">
        <v>95</v>
      </c>
      <c r="B210" s="6" t="s">
        <v>96</v>
      </c>
      <c r="C210" s="7" t="s">
        <v>322</v>
      </c>
      <c r="D210" s="76">
        <v>42534</v>
      </c>
      <c r="E210" s="7" t="s">
        <v>1123</v>
      </c>
      <c r="G210" s="86" t="s">
        <v>1123</v>
      </c>
      <c r="H210" s="6"/>
    </row>
    <row r="211" spans="1:8" s="2" customFormat="1" ht="17.100000000000001" customHeight="1" thickBot="1" x14ac:dyDescent="0.25">
      <c r="A211" s="6" t="s">
        <v>95</v>
      </c>
      <c r="B211" s="6" t="s">
        <v>97</v>
      </c>
      <c r="C211" s="7" t="s">
        <v>323</v>
      </c>
      <c r="D211" s="76">
        <v>42527</v>
      </c>
      <c r="E211" s="7" t="s">
        <v>1123</v>
      </c>
      <c r="F211" s="1"/>
      <c r="G211" s="86" t="s">
        <v>1121</v>
      </c>
      <c r="H211" s="6"/>
    </row>
    <row r="212" spans="1:8" s="2" customFormat="1" ht="17.100000000000001" customHeight="1" thickBot="1" x14ac:dyDescent="0.25">
      <c r="A212" s="6" t="s">
        <v>95</v>
      </c>
      <c r="B212" s="6" t="s">
        <v>98</v>
      </c>
      <c r="C212" s="7" t="s">
        <v>1040</v>
      </c>
      <c r="D212" s="76">
        <v>42537</v>
      </c>
      <c r="E212" s="7" t="s">
        <v>1123</v>
      </c>
      <c r="F212" s="1"/>
      <c r="G212" s="86" t="s">
        <v>1123</v>
      </c>
      <c r="H212" s="6"/>
    </row>
    <row r="213" spans="1:8" ht="17.100000000000001" customHeight="1" thickBot="1" x14ac:dyDescent="0.25">
      <c r="A213" s="6" t="s">
        <v>95</v>
      </c>
      <c r="B213" s="6" t="s">
        <v>99</v>
      </c>
      <c r="C213" s="7" t="s">
        <v>326</v>
      </c>
      <c r="D213" s="76">
        <v>42531</v>
      </c>
      <c r="E213" s="7" t="s">
        <v>1123</v>
      </c>
      <c r="G213" s="86" t="s">
        <v>1123</v>
      </c>
      <c r="H213" s="6"/>
    </row>
    <row r="214" spans="1:8" ht="17.100000000000001" customHeight="1" thickBot="1" x14ac:dyDescent="0.25">
      <c r="A214" s="5" t="s">
        <v>87</v>
      </c>
      <c r="B214" s="5" t="s">
        <v>7</v>
      </c>
      <c r="C214" s="11" t="s">
        <v>1041</v>
      </c>
      <c r="D214" s="75">
        <v>42536</v>
      </c>
      <c r="E214" s="11" t="s">
        <v>1123</v>
      </c>
      <c r="G214" s="82" t="s">
        <v>1123</v>
      </c>
      <c r="H214" s="5"/>
    </row>
    <row r="215" spans="1:8" s="2" customFormat="1" ht="17.100000000000001" customHeight="1" thickBot="1" x14ac:dyDescent="0.25">
      <c r="A215" s="5" t="s">
        <v>87</v>
      </c>
      <c r="B215" s="5" t="s">
        <v>7</v>
      </c>
      <c r="C215" s="11" t="s">
        <v>1042</v>
      </c>
      <c r="D215" s="75">
        <v>42536</v>
      </c>
      <c r="E215" s="11" t="s">
        <v>1122</v>
      </c>
      <c r="F215" s="1"/>
      <c r="G215" s="82" t="s">
        <v>1123</v>
      </c>
      <c r="H215" s="5"/>
    </row>
    <row r="216" spans="1:8" s="2" customFormat="1" ht="17.100000000000001" customHeight="1" thickBot="1" x14ac:dyDescent="0.25">
      <c r="A216" s="5" t="s">
        <v>87</v>
      </c>
      <c r="B216" s="5" t="s">
        <v>7</v>
      </c>
      <c r="C216" s="11" t="s">
        <v>1043</v>
      </c>
      <c r="D216" s="75">
        <v>42536</v>
      </c>
      <c r="E216" s="11" t="s">
        <v>1123</v>
      </c>
      <c r="F216" s="1"/>
      <c r="G216" s="82" t="s">
        <v>1123</v>
      </c>
      <c r="H216" s="5"/>
    </row>
    <row r="217" spans="1:8" ht="17.100000000000001" customHeight="1" thickBot="1" x14ac:dyDescent="0.25">
      <c r="A217" s="5" t="s">
        <v>87</v>
      </c>
      <c r="B217" s="5" t="s">
        <v>7</v>
      </c>
      <c r="C217" s="11" t="s">
        <v>497</v>
      </c>
      <c r="D217" s="75">
        <v>42536</v>
      </c>
      <c r="E217" s="11" t="s">
        <v>1123</v>
      </c>
      <c r="G217" s="82" t="s">
        <v>1122</v>
      </c>
      <c r="H217" s="5"/>
    </row>
    <row r="218" spans="1:8" s="2" customFormat="1" ht="17.100000000000001" customHeight="1" thickBot="1" x14ac:dyDescent="0.25">
      <c r="A218" s="5" t="s">
        <v>87</v>
      </c>
      <c r="B218" s="5" t="s">
        <v>7</v>
      </c>
      <c r="C218" s="11" t="s">
        <v>1044</v>
      </c>
      <c r="D218" s="75">
        <v>42536</v>
      </c>
      <c r="E218" s="11" t="s">
        <v>1123</v>
      </c>
      <c r="F218" s="1"/>
      <c r="G218" s="82" t="s">
        <v>1123</v>
      </c>
      <c r="H218" s="5"/>
    </row>
    <row r="219" spans="1:8" s="2" customFormat="1" ht="17.100000000000001" customHeight="1" thickBot="1" x14ac:dyDescent="0.25">
      <c r="A219" s="5" t="s">
        <v>87</v>
      </c>
      <c r="B219" s="5" t="s">
        <v>7</v>
      </c>
      <c r="C219" s="11" t="s">
        <v>317</v>
      </c>
      <c r="D219" s="75">
        <v>42536</v>
      </c>
      <c r="E219" s="11" t="s">
        <v>1123</v>
      </c>
      <c r="F219" s="1"/>
      <c r="G219" s="82" t="s">
        <v>1123</v>
      </c>
      <c r="H219" s="5"/>
    </row>
    <row r="220" spans="1:8" s="2" customFormat="1" ht="17.100000000000001" customHeight="1" thickBot="1" x14ac:dyDescent="0.25">
      <c r="A220" s="5" t="s">
        <v>87</v>
      </c>
      <c r="B220" s="5" t="s">
        <v>7</v>
      </c>
      <c r="C220" s="11" t="s">
        <v>1045</v>
      </c>
      <c r="D220" s="75">
        <v>42536</v>
      </c>
      <c r="E220" s="11" t="s">
        <v>1123</v>
      </c>
      <c r="F220" s="1"/>
      <c r="G220" s="82" t="s">
        <v>1123</v>
      </c>
      <c r="H220" s="5"/>
    </row>
    <row r="221" spans="1:8" ht="17.100000000000001" customHeight="1" thickBot="1" x14ac:dyDescent="0.25">
      <c r="A221" s="5" t="s">
        <v>87</v>
      </c>
      <c r="B221" s="5" t="s">
        <v>7</v>
      </c>
      <c r="C221" s="11" t="s">
        <v>1046</v>
      </c>
      <c r="D221" s="75">
        <v>42536</v>
      </c>
      <c r="E221" s="11" t="s">
        <v>1123</v>
      </c>
      <c r="G221" s="82" t="s">
        <v>1123</v>
      </c>
      <c r="H221" s="5"/>
    </row>
    <row r="222" spans="1:8" ht="17.100000000000001" customHeight="1" thickBot="1" x14ac:dyDescent="0.25">
      <c r="A222" s="5" t="s">
        <v>87</v>
      </c>
      <c r="B222" s="5" t="s">
        <v>7</v>
      </c>
      <c r="C222" s="11" t="s">
        <v>1047</v>
      </c>
      <c r="D222" s="75">
        <v>42536</v>
      </c>
      <c r="E222" s="11" t="s">
        <v>1123</v>
      </c>
      <c r="G222" s="82" t="s">
        <v>1123</v>
      </c>
      <c r="H222" s="5"/>
    </row>
    <row r="223" spans="1:8" ht="17.100000000000001" customHeight="1" thickBot="1" x14ac:dyDescent="0.25">
      <c r="A223" s="5" t="s">
        <v>87</v>
      </c>
      <c r="B223" s="5" t="s">
        <v>7</v>
      </c>
      <c r="C223" s="11" t="s">
        <v>1048</v>
      </c>
      <c r="D223" s="75">
        <v>42536</v>
      </c>
      <c r="E223" s="11" t="s">
        <v>1123</v>
      </c>
      <c r="G223" s="82" t="s">
        <v>1123</v>
      </c>
      <c r="H223" s="5"/>
    </row>
    <row r="224" spans="1:8" ht="17.100000000000001" customHeight="1" thickBot="1" x14ac:dyDescent="0.25">
      <c r="A224" s="5" t="s">
        <v>87</v>
      </c>
      <c r="B224" s="5" t="s">
        <v>7</v>
      </c>
      <c r="C224" s="11" t="s">
        <v>915</v>
      </c>
      <c r="D224" s="75">
        <v>42536</v>
      </c>
      <c r="E224" s="11" t="s">
        <v>1123</v>
      </c>
      <c r="G224" s="82" t="s">
        <v>1123</v>
      </c>
      <c r="H224" s="5"/>
    </row>
    <row r="225" spans="1:8" s="2" customFormat="1" ht="17.100000000000001" customHeight="1" thickBot="1" x14ac:dyDescent="0.25">
      <c r="A225" s="5" t="s">
        <v>87</v>
      </c>
      <c r="B225" s="5" t="s">
        <v>88</v>
      </c>
      <c r="C225" s="11" t="s">
        <v>319</v>
      </c>
      <c r="D225" s="75">
        <v>42554</v>
      </c>
      <c r="E225" s="11" t="s">
        <v>1123</v>
      </c>
      <c r="F225" s="1"/>
      <c r="G225" s="82" t="s">
        <v>1123</v>
      </c>
      <c r="H225" s="5"/>
    </row>
    <row r="226" spans="1:8" s="2" customFormat="1" ht="17.100000000000001" customHeight="1" thickBot="1" x14ac:dyDescent="0.25">
      <c r="A226" s="5" t="s">
        <v>87</v>
      </c>
      <c r="B226" s="5" t="s">
        <v>91</v>
      </c>
      <c r="C226" s="11" t="s">
        <v>1049</v>
      </c>
      <c r="D226" s="75">
        <v>42554</v>
      </c>
      <c r="E226" s="11" t="s">
        <v>1123</v>
      </c>
      <c r="F226" s="1"/>
      <c r="G226" s="82" t="s">
        <v>1123</v>
      </c>
      <c r="H226" s="5"/>
    </row>
    <row r="227" spans="1:8" ht="17.100000000000001" customHeight="1" thickBot="1" x14ac:dyDescent="0.25">
      <c r="A227" s="5" t="s">
        <v>87</v>
      </c>
      <c r="B227" s="5" t="s">
        <v>89</v>
      </c>
      <c r="C227" s="11" t="s">
        <v>324</v>
      </c>
      <c r="D227" s="75">
        <v>42554</v>
      </c>
      <c r="E227" s="11" t="s">
        <v>1123</v>
      </c>
      <c r="G227" s="82" t="s">
        <v>1123</v>
      </c>
      <c r="H227" s="5"/>
    </row>
    <row r="228" spans="1:8" s="2" customFormat="1" ht="17.100000000000001" customHeight="1" thickBot="1" x14ac:dyDescent="0.25">
      <c r="A228" s="5" t="s">
        <v>87</v>
      </c>
      <c r="B228" s="5" t="s">
        <v>90</v>
      </c>
      <c r="C228" s="11" t="s">
        <v>325</v>
      </c>
      <c r="D228" s="75">
        <v>42554</v>
      </c>
      <c r="E228" s="11" t="s">
        <v>1123</v>
      </c>
      <c r="F228" s="1"/>
      <c r="G228" s="82" t="s">
        <v>1123</v>
      </c>
      <c r="H228" s="5"/>
    </row>
    <row r="229" spans="1:8" ht="17.100000000000001" customHeight="1" thickBot="1" x14ac:dyDescent="0.25">
      <c r="A229" s="6" t="s">
        <v>102</v>
      </c>
      <c r="B229" s="6" t="s">
        <v>7</v>
      </c>
      <c r="C229" s="7" t="s">
        <v>327</v>
      </c>
      <c r="D229" s="76">
        <v>42545</v>
      </c>
      <c r="E229" s="7" t="s">
        <v>1122</v>
      </c>
      <c r="G229" s="86" t="s">
        <v>1123</v>
      </c>
      <c r="H229" s="6"/>
    </row>
    <row r="230" spans="1:8" s="2" customFormat="1" ht="17.100000000000001" customHeight="1" thickBot="1" x14ac:dyDescent="0.25">
      <c r="A230" s="6" t="s">
        <v>102</v>
      </c>
      <c r="B230" s="6" t="s">
        <v>7</v>
      </c>
      <c r="C230" s="7" t="s">
        <v>1061</v>
      </c>
      <c r="D230" s="76">
        <v>42545</v>
      </c>
      <c r="E230" s="7" t="s">
        <v>1123</v>
      </c>
      <c r="F230" s="1"/>
      <c r="G230" s="86" t="s">
        <v>1123</v>
      </c>
      <c r="H230" s="6"/>
    </row>
    <row r="231" spans="1:8" ht="17.100000000000001" customHeight="1" thickBot="1" x14ac:dyDescent="0.25">
      <c r="A231" s="6" t="s">
        <v>102</v>
      </c>
      <c r="B231" s="6" t="s">
        <v>7</v>
      </c>
      <c r="C231" s="7" t="s">
        <v>1062</v>
      </c>
      <c r="D231" s="76">
        <v>42545</v>
      </c>
      <c r="E231" s="7" t="s">
        <v>1123</v>
      </c>
      <c r="G231" s="86" t="s">
        <v>1123</v>
      </c>
      <c r="H231" s="6"/>
    </row>
    <row r="232" spans="1:8" ht="17.100000000000001" customHeight="1" thickBot="1" x14ac:dyDescent="0.25">
      <c r="A232" s="6" t="s">
        <v>102</v>
      </c>
      <c r="B232" s="6" t="s">
        <v>7</v>
      </c>
      <c r="C232" s="7" t="s">
        <v>328</v>
      </c>
      <c r="D232" s="76">
        <v>42545</v>
      </c>
      <c r="E232" s="7" t="s">
        <v>1123</v>
      </c>
      <c r="G232" s="86" t="s">
        <v>1123</v>
      </c>
      <c r="H232" s="6"/>
    </row>
    <row r="233" spans="1:8" ht="17.100000000000001" customHeight="1" thickBot="1" x14ac:dyDescent="0.25">
      <c r="A233" s="6" t="s">
        <v>102</v>
      </c>
      <c r="B233" s="6" t="s">
        <v>7</v>
      </c>
      <c r="C233" s="7" t="s">
        <v>1063</v>
      </c>
      <c r="D233" s="76">
        <v>42545</v>
      </c>
      <c r="E233" s="7" t="s">
        <v>1123</v>
      </c>
      <c r="G233" s="86" t="s">
        <v>1123</v>
      </c>
      <c r="H233" s="6"/>
    </row>
    <row r="234" spans="1:8" ht="17.100000000000001" customHeight="1" thickBot="1" x14ac:dyDescent="0.25">
      <c r="A234" s="6" t="s">
        <v>102</v>
      </c>
      <c r="B234" s="6" t="s">
        <v>7</v>
      </c>
      <c r="C234" s="7" t="s">
        <v>329</v>
      </c>
      <c r="D234" s="76">
        <v>42545</v>
      </c>
      <c r="E234" s="7" t="s">
        <v>1122</v>
      </c>
      <c r="G234" s="86" t="s">
        <v>1123</v>
      </c>
      <c r="H234" s="6"/>
    </row>
    <row r="235" spans="1:8" ht="17.100000000000001" customHeight="1" thickBot="1" x14ac:dyDescent="0.25">
      <c r="A235" s="6" t="s">
        <v>102</v>
      </c>
      <c r="B235" s="6" t="s">
        <v>7</v>
      </c>
      <c r="C235" s="7" t="s">
        <v>1064</v>
      </c>
      <c r="D235" s="76">
        <v>42545</v>
      </c>
      <c r="E235" s="7" t="s">
        <v>1123</v>
      </c>
      <c r="G235" s="86" t="s">
        <v>1122</v>
      </c>
      <c r="H235" s="6"/>
    </row>
    <row r="236" spans="1:8" ht="17.100000000000001" customHeight="1" thickBot="1" x14ac:dyDescent="0.25">
      <c r="A236" s="6" t="s">
        <v>102</v>
      </c>
      <c r="B236" s="6" t="s">
        <v>7</v>
      </c>
      <c r="C236" s="7" t="s">
        <v>1065</v>
      </c>
      <c r="D236" s="76">
        <v>42545</v>
      </c>
      <c r="E236" s="7" t="s">
        <v>1123</v>
      </c>
      <c r="G236" s="86" t="s">
        <v>1123</v>
      </c>
      <c r="H236" s="6"/>
    </row>
    <row r="237" spans="1:8" ht="17.100000000000001" customHeight="1" thickBot="1" x14ac:dyDescent="0.25">
      <c r="A237" s="6" t="s">
        <v>102</v>
      </c>
      <c r="B237" s="6" t="s">
        <v>7</v>
      </c>
      <c r="C237" s="7" t="s">
        <v>1066</v>
      </c>
      <c r="D237" s="76">
        <v>42545</v>
      </c>
      <c r="E237" s="7" t="s">
        <v>1123</v>
      </c>
      <c r="G237" s="86" t="s">
        <v>1123</v>
      </c>
      <c r="H237" s="6"/>
    </row>
    <row r="238" spans="1:8" s="2" customFormat="1" ht="17.100000000000001" customHeight="1" thickBot="1" x14ac:dyDescent="0.25">
      <c r="A238" s="6" t="s">
        <v>102</v>
      </c>
      <c r="B238" s="6" t="s">
        <v>7</v>
      </c>
      <c r="C238" s="7" t="s">
        <v>1067</v>
      </c>
      <c r="D238" s="76">
        <v>42545</v>
      </c>
      <c r="E238" s="7" t="s">
        <v>1122</v>
      </c>
      <c r="F238" s="1"/>
      <c r="G238" s="86" t="s">
        <v>1123</v>
      </c>
      <c r="H238" s="6"/>
    </row>
    <row r="239" spans="1:8" s="2" customFormat="1" ht="17.100000000000001" customHeight="1" thickBot="1" x14ac:dyDescent="0.25">
      <c r="A239" s="6" t="s">
        <v>102</v>
      </c>
      <c r="B239" s="6" t="s">
        <v>103</v>
      </c>
      <c r="C239" s="7" t="s">
        <v>339</v>
      </c>
      <c r="D239" s="76">
        <v>42545</v>
      </c>
      <c r="E239" s="7" t="s">
        <v>1123</v>
      </c>
      <c r="F239" s="1"/>
      <c r="G239" s="86" t="s">
        <v>1123</v>
      </c>
      <c r="H239" s="6"/>
    </row>
    <row r="240" spans="1:8" s="2" customFormat="1" ht="17.100000000000001" customHeight="1" thickBot="1" x14ac:dyDescent="0.25">
      <c r="A240" s="5" t="s">
        <v>112</v>
      </c>
      <c r="B240" s="5" t="s">
        <v>7</v>
      </c>
      <c r="C240" s="11" t="s">
        <v>499</v>
      </c>
      <c r="D240" s="75">
        <v>42541</v>
      </c>
      <c r="E240" s="11" t="s">
        <v>1123</v>
      </c>
      <c r="F240" s="1"/>
      <c r="G240" s="82" t="s">
        <v>1123</v>
      </c>
      <c r="H240" s="5"/>
    </row>
    <row r="241" spans="1:8" ht="17.100000000000001" customHeight="1" thickBot="1" x14ac:dyDescent="0.25">
      <c r="A241" s="5" t="s">
        <v>112</v>
      </c>
      <c r="B241" s="5" t="s">
        <v>7</v>
      </c>
      <c r="C241" s="11" t="s">
        <v>1086</v>
      </c>
      <c r="D241" s="75">
        <v>42541</v>
      </c>
      <c r="E241" s="11" t="s">
        <v>1121</v>
      </c>
      <c r="G241" s="82" t="s">
        <v>1123</v>
      </c>
      <c r="H241" s="5"/>
    </row>
    <row r="242" spans="1:8" ht="17.100000000000001" customHeight="1" thickBot="1" x14ac:dyDescent="0.25">
      <c r="A242" s="5" t="s">
        <v>112</v>
      </c>
      <c r="B242" s="5" t="s">
        <v>7</v>
      </c>
      <c r="C242" s="11" t="s">
        <v>498</v>
      </c>
      <c r="D242" s="75">
        <v>42541</v>
      </c>
      <c r="E242" s="11" t="s">
        <v>1123</v>
      </c>
      <c r="G242" s="82" t="s">
        <v>1123</v>
      </c>
      <c r="H242" s="5"/>
    </row>
    <row r="243" spans="1:8" ht="17.100000000000001" customHeight="1" thickBot="1" x14ac:dyDescent="0.25">
      <c r="A243" s="5" t="s">
        <v>112</v>
      </c>
      <c r="B243" s="5" t="s">
        <v>7</v>
      </c>
      <c r="C243" s="11" t="s">
        <v>1087</v>
      </c>
      <c r="D243" s="75">
        <v>42541</v>
      </c>
      <c r="E243" s="11" t="s">
        <v>1123</v>
      </c>
      <c r="G243" s="82" t="s">
        <v>1123</v>
      </c>
      <c r="H243" s="5"/>
    </row>
    <row r="244" spans="1:8" ht="17.100000000000001" customHeight="1" thickBot="1" x14ac:dyDescent="0.25">
      <c r="A244" s="5" t="s">
        <v>112</v>
      </c>
      <c r="B244" s="5" t="s">
        <v>7</v>
      </c>
      <c r="C244" s="11" t="s">
        <v>340</v>
      </c>
      <c r="D244" s="75">
        <v>42541</v>
      </c>
      <c r="E244" s="11" t="s">
        <v>1123</v>
      </c>
      <c r="G244" s="82" t="s">
        <v>1123</v>
      </c>
      <c r="H244" s="5"/>
    </row>
    <row r="245" spans="1:8" ht="17.100000000000001" customHeight="1" thickBot="1" x14ac:dyDescent="0.25">
      <c r="A245" s="5" t="s">
        <v>112</v>
      </c>
      <c r="B245" s="5" t="s">
        <v>7</v>
      </c>
      <c r="C245" s="11" t="s">
        <v>1088</v>
      </c>
      <c r="D245" s="75">
        <v>42541</v>
      </c>
      <c r="E245" s="11" t="s">
        <v>1123</v>
      </c>
      <c r="G245" s="82" t="s">
        <v>1122</v>
      </c>
      <c r="H245" s="5"/>
    </row>
    <row r="246" spans="1:8" s="29" customFormat="1" ht="17.100000000000001" customHeight="1" thickBot="1" x14ac:dyDescent="0.25">
      <c r="A246" s="5" t="s">
        <v>112</v>
      </c>
      <c r="B246" s="5" t="s">
        <v>113</v>
      </c>
      <c r="C246" s="11" t="s">
        <v>347</v>
      </c>
      <c r="D246" s="75">
        <v>42541</v>
      </c>
      <c r="E246" s="11" t="s">
        <v>1121</v>
      </c>
      <c r="F246" s="1"/>
      <c r="G246" s="82" t="s">
        <v>1124</v>
      </c>
      <c r="H246" s="5"/>
    </row>
    <row r="247" spans="1:8" s="2" customFormat="1" ht="17.100000000000001" customHeight="1" thickBot="1" x14ac:dyDescent="0.25">
      <c r="A247" s="5" t="s">
        <v>112</v>
      </c>
      <c r="B247" s="5" t="s">
        <v>910</v>
      </c>
      <c r="C247" s="11" t="s">
        <v>911</v>
      </c>
      <c r="D247" s="75">
        <v>42541</v>
      </c>
      <c r="E247" s="11" t="s">
        <v>1123</v>
      </c>
      <c r="F247" s="1"/>
      <c r="G247" s="82" t="s">
        <v>1123</v>
      </c>
      <c r="H247" s="5"/>
    </row>
    <row r="248" spans="1:8" ht="17.100000000000001" customHeight="1" thickBot="1" x14ac:dyDescent="0.25">
      <c r="A248" s="6" t="s">
        <v>186</v>
      </c>
      <c r="B248" s="6" t="s">
        <v>7</v>
      </c>
      <c r="C248" s="7" t="s">
        <v>450</v>
      </c>
      <c r="D248" s="76">
        <v>42551</v>
      </c>
      <c r="E248" s="7" t="s">
        <v>1123</v>
      </c>
      <c r="G248" s="86" t="s">
        <v>1123</v>
      </c>
      <c r="H248" s="6"/>
    </row>
    <row r="249" spans="1:8" ht="17.100000000000001" customHeight="1" thickBot="1" x14ac:dyDescent="0.25">
      <c r="A249" s="6" t="s">
        <v>186</v>
      </c>
      <c r="B249" s="6" t="s">
        <v>7</v>
      </c>
      <c r="C249" s="7" t="s">
        <v>451</v>
      </c>
      <c r="D249" s="76">
        <v>42566</v>
      </c>
      <c r="E249" s="7" t="s">
        <v>1123</v>
      </c>
      <c r="G249" s="86" t="s">
        <v>1123</v>
      </c>
      <c r="H249" s="6"/>
    </row>
    <row r="250" spans="1:8" s="2" customFormat="1" ht="17.100000000000001" customHeight="1" thickBot="1" x14ac:dyDescent="0.25">
      <c r="A250" s="6" t="s">
        <v>186</v>
      </c>
      <c r="B250" s="6" t="s">
        <v>7</v>
      </c>
      <c r="C250" s="7" t="s">
        <v>576</v>
      </c>
      <c r="D250" s="76">
        <v>42551</v>
      </c>
      <c r="E250" s="7" t="s">
        <v>1125</v>
      </c>
      <c r="F250" s="1"/>
      <c r="G250" s="86" t="s">
        <v>1121</v>
      </c>
      <c r="H250" s="6"/>
    </row>
    <row r="251" spans="1:8" s="2" customFormat="1" ht="17.100000000000001" customHeight="1" thickBot="1" x14ac:dyDescent="0.25">
      <c r="A251" s="6" t="s">
        <v>186</v>
      </c>
      <c r="B251" s="6" t="s">
        <v>548</v>
      </c>
      <c r="C251" s="7" t="s">
        <v>443</v>
      </c>
      <c r="D251" s="76">
        <v>42552</v>
      </c>
      <c r="E251" s="7" t="s">
        <v>1123</v>
      </c>
      <c r="F251" s="1"/>
      <c r="G251" s="86" t="s">
        <v>1123</v>
      </c>
      <c r="H251" s="6"/>
    </row>
    <row r="252" spans="1:8" ht="17.100000000000001" customHeight="1" thickBot="1" x14ac:dyDescent="0.25">
      <c r="A252" s="6" t="s">
        <v>186</v>
      </c>
      <c r="B252" s="6" t="s">
        <v>187</v>
      </c>
      <c r="C252" s="7" t="s">
        <v>448</v>
      </c>
      <c r="D252" s="76">
        <v>42551</v>
      </c>
      <c r="E252" s="7" t="s">
        <v>1123</v>
      </c>
      <c r="G252" s="86" t="s">
        <v>1123</v>
      </c>
      <c r="H252" s="6"/>
    </row>
    <row r="253" spans="1:8" ht="17.100000000000001" customHeight="1" thickBot="1" x14ac:dyDescent="0.25">
      <c r="A253" s="6" t="s">
        <v>186</v>
      </c>
      <c r="B253" s="6" t="s">
        <v>536</v>
      </c>
      <c r="C253" s="7" t="s">
        <v>942</v>
      </c>
      <c r="D253" s="76">
        <v>42552</v>
      </c>
      <c r="E253" s="7" t="s">
        <v>1123</v>
      </c>
      <c r="G253" s="86" t="s">
        <v>1123</v>
      </c>
      <c r="H253" s="6"/>
    </row>
    <row r="254" spans="1:8" ht="17.100000000000001" customHeight="1" thickBot="1" x14ac:dyDescent="0.25">
      <c r="A254" s="6" t="s">
        <v>186</v>
      </c>
      <c r="B254" s="6" t="s">
        <v>492</v>
      </c>
      <c r="C254" s="7" t="s">
        <v>458</v>
      </c>
      <c r="D254" s="76">
        <v>42552</v>
      </c>
      <c r="E254" s="7" t="s">
        <v>1123</v>
      </c>
      <c r="G254" s="86" t="s">
        <v>1123</v>
      </c>
      <c r="H254" s="6"/>
    </row>
    <row r="255" spans="1:8" s="2" customFormat="1" ht="17.100000000000001" customHeight="1" thickBot="1" x14ac:dyDescent="0.25">
      <c r="A255" s="6" t="s">
        <v>186</v>
      </c>
      <c r="B255" s="6" t="s">
        <v>492</v>
      </c>
      <c r="C255" s="7" t="s">
        <v>577</v>
      </c>
      <c r="D255" s="76">
        <v>42552</v>
      </c>
      <c r="E255" s="7" t="s">
        <v>1123</v>
      </c>
      <c r="F255" s="1"/>
      <c r="G255" s="86" t="s">
        <v>1123</v>
      </c>
      <c r="H255" s="6"/>
    </row>
    <row r="256" spans="1:8" ht="17.100000000000001" customHeight="1" thickBot="1" x14ac:dyDescent="0.25">
      <c r="A256" s="6" t="s">
        <v>186</v>
      </c>
      <c r="B256" s="6" t="s">
        <v>188</v>
      </c>
      <c r="C256" s="7" t="s">
        <v>459</v>
      </c>
      <c r="D256" s="76">
        <v>42552</v>
      </c>
      <c r="E256" s="7" t="s">
        <v>1123</v>
      </c>
      <c r="G256" s="86" t="s">
        <v>1123</v>
      </c>
      <c r="H256" s="6"/>
    </row>
    <row r="257" spans="1:8" ht="17.100000000000001" customHeight="1" thickBot="1" x14ac:dyDescent="0.25">
      <c r="A257" s="5" t="s">
        <v>189</v>
      </c>
      <c r="B257" s="5" t="s">
        <v>7</v>
      </c>
      <c r="C257" s="11" t="s">
        <v>514</v>
      </c>
      <c r="D257" s="75">
        <v>42552</v>
      </c>
      <c r="E257" s="11" t="s">
        <v>1123</v>
      </c>
      <c r="G257" s="82" t="s">
        <v>1121</v>
      </c>
      <c r="H257" s="5"/>
    </row>
    <row r="258" spans="1:8" s="2" customFormat="1" ht="17.100000000000001" customHeight="1" thickBot="1" x14ac:dyDescent="0.25">
      <c r="A258" s="5" t="s">
        <v>189</v>
      </c>
      <c r="B258" s="5" t="s">
        <v>7</v>
      </c>
      <c r="C258" s="11" t="s">
        <v>578</v>
      </c>
      <c r="D258" s="75">
        <v>42552</v>
      </c>
      <c r="E258" s="11" t="s">
        <v>1123</v>
      </c>
      <c r="F258" s="1"/>
      <c r="G258" s="82" t="s">
        <v>1123</v>
      </c>
      <c r="H258" s="5"/>
    </row>
    <row r="259" spans="1:8" s="2" customFormat="1" ht="17.100000000000001" customHeight="1" thickBot="1" x14ac:dyDescent="0.25">
      <c r="A259" s="5" t="s">
        <v>189</v>
      </c>
      <c r="B259" s="5" t="s">
        <v>7</v>
      </c>
      <c r="C259" s="11" t="s">
        <v>452</v>
      </c>
      <c r="D259" s="75">
        <v>42552</v>
      </c>
      <c r="E259" s="11" t="s">
        <v>1123</v>
      </c>
      <c r="F259" s="1"/>
      <c r="G259" s="82" t="s">
        <v>1123</v>
      </c>
      <c r="H259" s="5"/>
    </row>
    <row r="260" spans="1:8" s="2" customFormat="1" ht="17.100000000000001" customHeight="1" thickBot="1" x14ac:dyDescent="0.25">
      <c r="A260" s="5" t="s">
        <v>189</v>
      </c>
      <c r="B260" s="5" t="s">
        <v>7</v>
      </c>
      <c r="C260" s="11" t="s">
        <v>579</v>
      </c>
      <c r="D260" s="75">
        <v>42552</v>
      </c>
      <c r="E260" s="11" t="s">
        <v>1121</v>
      </c>
      <c r="F260" s="1"/>
      <c r="G260" s="82" t="s">
        <v>1123</v>
      </c>
      <c r="H260" s="5"/>
    </row>
    <row r="261" spans="1:8" ht="17.100000000000001" customHeight="1" thickBot="1" x14ac:dyDescent="0.25">
      <c r="A261" s="5" t="s">
        <v>189</v>
      </c>
      <c r="B261" s="5" t="s">
        <v>190</v>
      </c>
      <c r="C261" s="11" t="s">
        <v>460</v>
      </c>
      <c r="D261" s="75">
        <v>42552</v>
      </c>
      <c r="E261" s="11" t="s">
        <v>1123</v>
      </c>
      <c r="G261" s="82" t="s">
        <v>1123</v>
      </c>
      <c r="H261" s="5"/>
    </row>
    <row r="262" spans="1:8" s="2" customFormat="1" ht="17.100000000000001" customHeight="1" thickBot="1" x14ac:dyDescent="0.25">
      <c r="A262" s="5" t="s">
        <v>189</v>
      </c>
      <c r="B262" s="5" t="s">
        <v>875</v>
      </c>
      <c r="C262" s="11" t="s">
        <v>876</v>
      </c>
      <c r="D262" s="75">
        <v>42552</v>
      </c>
      <c r="E262" s="11" t="s">
        <v>1123</v>
      </c>
      <c r="F262" s="1"/>
      <c r="G262" s="82" t="s">
        <v>1123</v>
      </c>
      <c r="H262" s="5"/>
    </row>
    <row r="263" spans="1:8" ht="17.100000000000001" customHeight="1" thickBot="1" x14ac:dyDescent="0.25">
      <c r="A263" s="6" t="s">
        <v>208</v>
      </c>
      <c r="B263" s="6" t="s">
        <v>7</v>
      </c>
      <c r="C263" s="7" t="s">
        <v>1148</v>
      </c>
      <c r="D263" s="76">
        <v>42552</v>
      </c>
      <c r="E263" s="7" t="s">
        <v>1123</v>
      </c>
      <c r="G263" s="86" t="s">
        <v>1123</v>
      </c>
      <c r="H263" s="88" t="s">
        <v>1147</v>
      </c>
    </row>
    <row r="264" spans="1:8" ht="17.100000000000001" customHeight="1" thickBot="1" x14ac:dyDescent="0.25">
      <c r="A264" s="6" t="s">
        <v>208</v>
      </c>
      <c r="B264" s="6" t="s">
        <v>7</v>
      </c>
      <c r="C264" s="7" t="s">
        <v>1149</v>
      </c>
      <c r="D264" s="76">
        <v>42552</v>
      </c>
      <c r="E264" s="7" t="s">
        <v>1123</v>
      </c>
      <c r="G264" s="86" t="s">
        <v>1123</v>
      </c>
      <c r="H264" s="88" t="s">
        <v>1147</v>
      </c>
    </row>
    <row r="265" spans="1:8" ht="17.100000000000001" customHeight="1" thickBot="1" x14ac:dyDescent="0.25">
      <c r="A265" s="5" t="s">
        <v>9</v>
      </c>
      <c r="B265" s="5" t="s">
        <v>7</v>
      </c>
      <c r="C265" s="11" t="s">
        <v>225</v>
      </c>
      <c r="D265" s="75">
        <v>42538</v>
      </c>
      <c r="E265" s="11" t="s">
        <v>1124</v>
      </c>
      <c r="G265" s="82" t="s">
        <v>1123</v>
      </c>
      <c r="H265" s="5"/>
    </row>
    <row r="266" spans="1:8" s="2" customFormat="1" ht="17.100000000000001" customHeight="1" thickBot="1" x14ac:dyDescent="0.25">
      <c r="A266" s="5" t="s">
        <v>9</v>
      </c>
      <c r="B266" s="5" t="s">
        <v>7</v>
      </c>
      <c r="C266" s="11" t="s">
        <v>948</v>
      </c>
      <c r="D266" s="75">
        <v>42538</v>
      </c>
      <c r="E266" s="11" t="s">
        <v>1123</v>
      </c>
      <c r="F266" s="1"/>
      <c r="G266" s="82" t="s">
        <v>1123</v>
      </c>
      <c r="H266" s="5"/>
    </row>
    <row r="267" spans="1:8" s="2" customFormat="1" ht="17.100000000000001" customHeight="1" thickBot="1" x14ac:dyDescent="0.25">
      <c r="A267" s="5" t="s">
        <v>9</v>
      </c>
      <c r="B267" s="5" t="s">
        <v>7</v>
      </c>
      <c r="C267" s="11" t="s">
        <v>229</v>
      </c>
      <c r="D267" s="75">
        <v>42538</v>
      </c>
      <c r="E267" s="11" t="s">
        <v>1123</v>
      </c>
      <c r="F267" s="1"/>
      <c r="G267" s="82" t="s">
        <v>1123</v>
      </c>
      <c r="H267" s="5"/>
    </row>
    <row r="268" spans="1:8" s="2" customFormat="1" ht="17.100000000000001" customHeight="1" thickBot="1" x14ac:dyDescent="0.25">
      <c r="A268" s="5" t="s">
        <v>9</v>
      </c>
      <c r="B268" s="5" t="s">
        <v>7</v>
      </c>
      <c r="C268" s="11" t="s">
        <v>949</v>
      </c>
      <c r="D268" s="75">
        <v>42538</v>
      </c>
      <c r="E268" s="11" t="s">
        <v>1123</v>
      </c>
      <c r="F268" s="1"/>
      <c r="G268" s="82" t="s">
        <v>1123</v>
      </c>
      <c r="H268" s="5"/>
    </row>
    <row r="269" spans="1:8" ht="17.100000000000001" customHeight="1" thickBot="1" x14ac:dyDescent="0.25">
      <c r="A269" s="5" t="s">
        <v>9</v>
      </c>
      <c r="B269" s="5" t="s">
        <v>7</v>
      </c>
      <c r="C269" s="11" t="s">
        <v>950</v>
      </c>
      <c r="D269" s="75">
        <v>42538</v>
      </c>
      <c r="E269" s="11" t="s">
        <v>1123</v>
      </c>
      <c r="G269" s="82" t="s">
        <v>1122</v>
      </c>
      <c r="H269" s="5"/>
    </row>
    <row r="270" spans="1:8" s="2" customFormat="1" ht="17.100000000000001" customHeight="1" thickBot="1" x14ac:dyDescent="0.25">
      <c r="A270" s="5" t="s">
        <v>9</v>
      </c>
      <c r="B270" s="5" t="s">
        <v>7</v>
      </c>
      <c r="C270" s="11" t="s">
        <v>951</v>
      </c>
      <c r="D270" s="75">
        <v>42538</v>
      </c>
      <c r="E270" s="11" t="s">
        <v>1123</v>
      </c>
      <c r="F270" s="1"/>
      <c r="G270" s="82" t="s">
        <v>1123</v>
      </c>
      <c r="H270" s="5"/>
    </row>
    <row r="271" spans="1:8" ht="17.100000000000001" customHeight="1" thickBot="1" x14ac:dyDescent="0.25">
      <c r="A271" s="5" t="s">
        <v>9</v>
      </c>
      <c r="B271" s="5" t="s">
        <v>10</v>
      </c>
      <c r="C271" s="11" t="s">
        <v>231</v>
      </c>
      <c r="D271" s="75">
        <v>42549</v>
      </c>
      <c r="E271" s="11" t="s">
        <v>1123</v>
      </c>
      <c r="G271" s="82" t="s">
        <v>1123</v>
      </c>
      <c r="H271" s="5"/>
    </row>
    <row r="272" spans="1:8" s="2" customFormat="1" ht="17.100000000000001" customHeight="1" thickBot="1" x14ac:dyDescent="0.25">
      <c r="A272" s="5" t="s">
        <v>9</v>
      </c>
      <c r="B272" s="5" t="s">
        <v>10</v>
      </c>
      <c r="C272" s="11" t="s">
        <v>952</v>
      </c>
      <c r="D272" s="75">
        <v>42549</v>
      </c>
      <c r="E272" s="11" t="s">
        <v>1123</v>
      </c>
      <c r="F272" s="1"/>
      <c r="G272" s="82" t="s">
        <v>1123</v>
      </c>
      <c r="H272" s="5"/>
    </row>
    <row r="273" spans="1:8" s="73" customFormat="1" ht="17.100000000000001" customHeight="1" thickBot="1" x14ac:dyDescent="0.25">
      <c r="A273" s="5" t="s">
        <v>9</v>
      </c>
      <c r="B273" s="5" t="s">
        <v>10</v>
      </c>
      <c r="C273" s="11" t="s">
        <v>953</v>
      </c>
      <c r="D273" s="75">
        <v>42549</v>
      </c>
      <c r="E273" s="11" t="s">
        <v>1123</v>
      </c>
      <c r="F273" s="1"/>
      <c r="G273" s="82" t="s">
        <v>1123</v>
      </c>
      <c r="H273" s="5"/>
    </row>
    <row r="274" spans="1:8" ht="17.100000000000001" customHeight="1" thickBot="1" x14ac:dyDescent="0.25">
      <c r="A274" s="6" t="s">
        <v>100</v>
      </c>
      <c r="B274" s="6" t="s">
        <v>7</v>
      </c>
      <c r="C274" s="7" t="s">
        <v>1051</v>
      </c>
      <c r="D274" s="76">
        <v>42552</v>
      </c>
      <c r="E274" s="7" t="s">
        <v>1123</v>
      </c>
      <c r="G274" s="86" t="s">
        <v>1125</v>
      </c>
      <c r="H274" s="6"/>
    </row>
    <row r="275" spans="1:8" s="2" customFormat="1" ht="17.100000000000001" customHeight="1" thickBot="1" x14ac:dyDescent="0.25">
      <c r="A275" s="6" t="s">
        <v>100</v>
      </c>
      <c r="B275" s="6" t="s">
        <v>7</v>
      </c>
      <c r="C275" s="7" t="s">
        <v>1052</v>
      </c>
      <c r="D275" s="76">
        <v>42552</v>
      </c>
      <c r="E275" s="7" t="s">
        <v>1121</v>
      </c>
      <c r="F275" s="1"/>
      <c r="G275" s="86" t="s">
        <v>1123</v>
      </c>
      <c r="H275" s="6"/>
    </row>
    <row r="276" spans="1:8" ht="17.100000000000001" customHeight="1" thickBot="1" x14ac:dyDescent="0.25">
      <c r="A276" s="5" t="s">
        <v>30</v>
      </c>
      <c r="B276" s="5" t="s">
        <v>7</v>
      </c>
      <c r="C276" s="11" t="s">
        <v>1130</v>
      </c>
      <c r="D276" s="75">
        <v>42548</v>
      </c>
      <c r="E276" s="11" t="s">
        <v>1123</v>
      </c>
      <c r="G276" s="82" t="s">
        <v>1125</v>
      </c>
      <c r="H276" s="5"/>
    </row>
    <row r="277" spans="1:8" ht="17.100000000000001" customHeight="1" thickBot="1" x14ac:dyDescent="0.25">
      <c r="A277" s="5" t="s">
        <v>30</v>
      </c>
      <c r="B277" s="5" t="s">
        <v>7</v>
      </c>
      <c r="C277" s="11" t="s">
        <v>978</v>
      </c>
      <c r="D277" s="75">
        <v>42548</v>
      </c>
      <c r="E277" s="11" t="s">
        <v>1128</v>
      </c>
      <c r="G277" s="82" t="s">
        <v>1123</v>
      </c>
      <c r="H277" s="5"/>
    </row>
    <row r="278" spans="1:8" ht="35.25" customHeight="1" thickBot="1" x14ac:dyDescent="0.25">
      <c r="A278" s="5" t="s">
        <v>30</v>
      </c>
      <c r="B278" s="5" t="s">
        <v>7</v>
      </c>
      <c r="C278" s="11" t="s">
        <v>979</v>
      </c>
      <c r="D278" s="75">
        <v>42548</v>
      </c>
      <c r="E278" s="11" t="s">
        <v>1121</v>
      </c>
      <c r="G278" s="82" t="s">
        <v>1125</v>
      </c>
      <c r="H278" s="89" t="s">
        <v>1176</v>
      </c>
    </row>
    <row r="279" spans="1:8" ht="17.100000000000001" customHeight="1" thickBot="1" x14ac:dyDescent="0.25">
      <c r="A279" s="5" t="s">
        <v>30</v>
      </c>
      <c r="B279" s="5" t="s">
        <v>7</v>
      </c>
      <c r="C279" s="11" t="s">
        <v>980</v>
      </c>
      <c r="D279" s="75">
        <v>42548</v>
      </c>
      <c r="E279" s="11" t="s">
        <v>1123</v>
      </c>
      <c r="G279" s="82" t="s">
        <v>1123</v>
      </c>
      <c r="H279" s="5"/>
    </row>
    <row r="280" spans="1:8" s="2" customFormat="1" ht="17.100000000000001" customHeight="1" thickBot="1" x14ac:dyDescent="0.25">
      <c r="A280" s="5" t="s">
        <v>30</v>
      </c>
      <c r="B280" s="5" t="s">
        <v>31</v>
      </c>
      <c r="C280" s="11" t="s">
        <v>261</v>
      </c>
      <c r="D280" s="75">
        <v>42548</v>
      </c>
      <c r="E280" s="11" t="s">
        <v>1123</v>
      </c>
      <c r="F280" s="1"/>
      <c r="G280" s="82" t="s">
        <v>1123</v>
      </c>
      <c r="H280" s="5"/>
    </row>
    <row r="281" spans="1:8" s="2" customFormat="1" ht="17.100000000000001" customHeight="1" thickBot="1" x14ac:dyDescent="0.25">
      <c r="A281" s="5" t="s">
        <v>30</v>
      </c>
      <c r="B281" s="5" t="s">
        <v>32</v>
      </c>
      <c r="C281" s="11" t="s">
        <v>264</v>
      </c>
      <c r="D281" s="75">
        <v>42548</v>
      </c>
      <c r="E281" s="11" t="s">
        <v>1123</v>
      </c>
      <c r="F281" s="1"/>
      <c r="G281" s="82" t="s">
        <v>1123</v>
      </c>
      <c r="H281" s="5"/>
    </row>
    <row r="282" spans="1:8" s="2" customFormat="1" ht="17.100000000000001" customHeight="1" thickBot="1" x14ac:dyDescent="0.25">
      <c r="A282" s="5" t="s">
        <v>30</v>
      </c>
      <c r="B282" s="5" t="s">
        <v>34</v>
      </c>
      <c r="C282" s="11" t="s">
        <v>267</v>
      </c>
      <c r="D282" s="75">
        <v>42548</v>
      </c>
      <c r="E282" s="11" t="s">
        <v>1121</v>
      </c>
      <c r="F282" s="1"/>
      <c r="G282" s="82" t="s">
        <v>1125</v>
      </c>
      <c r="H282" s="5"/>
    </row>
    <row r="283" spans="1:8" s="2" customFormat="1" ht="17.100000000000001" customHeight="1" thickBot="1" x14ac:dyDescent="0.25">
      <c r="A283" s="5" t="s">
        <v>30</v>
      </c>
      <c r="B283" s="5" t="s">
        <v>33</v>
      </c>
      <c r="C283" s="11" t="s">
        <v>266</v>
      </c>
      <c r="D283" s="75">
        <v>42548</v>
      </c>
      <c r="E283" s="11" t="s">
        <v>1123</v>
      </c>
      <c r="F283" s="1"/>
      <c r="G283" s="82" t="s">
        <v>1123</v>
      </c>
      <c r="H283" s="5"/>
    </row>
    <row r="284" spans="1:8" s="2" customFormat="1" ht="17.100000000000001" customHeight="1" thickBot="1" x14ac:dyDescent="0.25">
      <c r="A284" s="5" t="s">
        <v>30</v>
      </c>
      <c r="B284" s="5" t="s">
        <v>883</v>
      </c>
      <c r="C284" s="11" t="s">
        <v>981</v>
      </c>
      <c r="D284" s="75">
        <v>42548</v>
      </c>
      <c r="E284" s="11" t="s">
        <v>1123</v>
      </c>
      <c r="F284" s="1"/>
      <c r="G284" s="82" t="s">
        <v>1123</v>
      </c>
      <c r="H284" s="5"/>
    </row>
    <row r="285" spans="1:8" s="2" customFormat="1" ht="17.100000000000001" customHeight="1" thickBot="1" x14ac:dyDescent="0.25">
      <c r="A285" s="6" t="s">
        <v>119</v>
      </c>
      <c r="B285" s="6" t="s">
        <v>7</v>
      </c>
      <c r="C285" s="7" t="s">
        <v>888</v>
      </c>
      <c r="D285" s="76">
        <v>42552</v>
      </c>
      <c r="E285" s="7" t="s">
        <v>1123</v>
      </c>
      <c r="F285" s="1"/>
      <c r="G285" s="86" t="s">
        <v>1123</v>
      </c>
      <c r="H285" s="6"/>
    </row>
    <row r="286" spans="1:8" ht="17.100000000000001" customHeight="1" thickBot="1" x14ac:dyDescent="0.25">
      <c r="A286" s="6" t="s">
        <v>119</v>
      </c>
      <c r="B286" s="6" t="s">
        <v>7</v>
      </c>
      <c r="C286" s="7" t="s">
        <v>349</v>
      </c>
      <c r="D286" s="76">
        <v>42552</v>
      </c>
      <c r="E286" s="7" t="s">
        <v>1123</v>
      </c>
      <c r="G286" s="86" t="s">
        <v>1122</v>
      </c>
      <c r="H286" s="6"/>
    </row>
    <row r="287" spans="1:8" s="2" customFormat="1" ht="17.100000000000001" customHeight="1" thickBot="1" x14ac:dyDescent="0.25">
      <c r="A287" s="6" t="s">
        <v>119</v>
      </c>
      <c r="B287" s="6" t="s">
        <v>7</v>
      </c>
      <c r="C287" s="7" t="s">
        <v>350</v>
      </c>
      <c r="D287" s="76">
        <v>42552</v>
      </c>
      <c r="E287" s="7" t="s">
        <v>1123</v>
      </c>
      <c r="F287" s="1"/>
      <c r="G287" s="86" t="s">
        <v>1123</v>
      </c>
      <c r="H287" s="6"/>
    </row>
    <row r="288" spans="1:8" s="2" customFormat="1" ht="17.100000000000001" customHeight="1" thickBot="1" x14ac:dyDescent="0.25">
      <c r="A288" s="6" t="s">
        <v>119</v>
      </c>
      <c r="B288" s="6" t="s">
        <v>7</v>
      </c>
      <c r="C288" s="7" t="s">
        <v>351</v>
      </c>
      <c r="D288" s="76">
        <v>42552</v>
      </c>
      <c r="E288" s="7" t="s">
        <v>1123</v>
      </c>
      <c r="F288" s="1"/>
      <c r="G288" s="86" t="s">
        <v>1123</v>
      </c>
      <c r="H288" s="6"/>
    </row>
    <row r="289" spans="1:8" s="2" customFormat="1" ht="16.5" customHeight="1" thickBot="1" x14ac:dyDescent="0.25">
      <c r="A289" s="6" t="s">
        <v>119</v>
      </c>
      <c r="B289" s="6" t="s">
        <v>7</v>
      </c>
      <c r="C289" s="7" t="s">
        <v>352</v>
      </c>
      <c r="D289" s="76">
        <v>42552</v>
      </c>
      <c r="E289" s="7" t="s">
        <v>1123</v>
      </c>
      <c r="F289" s="1"/>
      <c r="G289" s="86" t="s">
        <v>1123</v>
      </c>
      <c r="H289" s="6"/>
    </row>
    <row r="290" spans="1:8" s="2" customFormat="1" ht="17.100000000000001" customHeight="1" thickBot="1" x14ac:dyDescent="0.25">
      <c r="A290" s="6" t="s">
        <v>119</v>
      </c>
      <c r="B290" s="6" t="s">
        <v>7</v>
      </c>
      <c r="C290" s="7" t="s">
        <v>353</v>
      </c>
      <c r="D290" s="76">
        <v>42552</v>
      </c>
      <c r="E290" s="7" t="s">
        <v>1123</v>
      </c>
      <c r="F290" s="1"/>
      <c r="G290" s="86" t="s">
        <v>1123</v>
      </c>
      <c r="H290" s="6"/>
    </row>
    <row r="291" spans="1:8" s="2" customFormat="1" ht="17.100000000000001" customHeight="1" thickBot="1" x14ac:dyDescent="0.25">
      <c r="A291" s="6" t="s">
        <v>119</v>
      </c>
      <c r="B291" s="6" t="s">
        <v>7</v>
      </c>
      <c r="C291" s="7" t="s">
        <v>354</v>
      </c>
      <c r="D291" s="76">
        <v>42552</v>
      </c>
      <c r="E291" s="7" t="s">
        <v>1122</v>
      </c>
      <c r="F291" s="1"/>
      <c r="G291" s="86" t="s">
        <v>1123</v>
      </c>
      <c r="H291" s="6"/>
    </row>
    <row r="292" spans="1:8" ht="17.100000000000001" customHeight="1" thickBot="1" x14ac:dyDescent="0.25">
      <c r="A292" s="6" t="s">
        <v>119</v>
      </c>
      <c r="B292" s="6" t="s">
        <v>7</v>
      </c>
      <c r="C292" s="7" t="s">
        <v>355</v>
      </c>
      <c r="D292" s="76">
        <v>42552</v>
      </c>
      <c r="E292" s="7" t="s">
        <v>1123</v>
      </c>
      <c r="G292" s="86" t="s">
        <v>1123</v>
      </c>
      <c r="H292" s="6"/>
    </row>
    <row r="293" spans="1:8" ht="17.100000000000001" customHeight="1" thickBot="1" x14ac:dyDescent="0.25">
      <c r="A293" s="6" t="s">
        <v>119</v>
      </c>
      <c r="B293" s="6" t="s">
        <v>7</v>
      </c>
      <c r="C293" s="7" t="s">
        <v>356</v>
      </c>
      <c r="D293" s="76">
        <v>42552</v>
      </c>
      <c r="E293" s="7" t="s">
        <v>1123</v>
      </c>
      <c r="G293" s="86" t="s">
        <v>1123</v>
      </c>
      <c r="H293" s="6"/>
    </row>
    <row r="294" spans="1:8" ht="17.100000000000001" customHeight="1" thickBot="1" x14ac:dyDescent="0.25">
      <c r="A294" s="6" t="s">
        <v>119</v>
      </c>
      <c r="B294" s="6" t="s">
        <v>7</v>
      </c>
      <c r="C294" s="7" t="s">
        <v>500</v>
      </c>
      <c r="D294" s="76">
        <v>42552</v>
      </c>
      <c r="E294" s="7" t="s">
        <v>1123</v>
      </c>
      <c r="G294" s="86" t="s">
        <v>1123</v>
      </c>
      <c r="H294" s="6"/>
    </row>
    <row r="295" spans="1:8" ht="17.100000000000001" customHeight="1" thickBot="1" x14ac:dyDescent="0.25">
      <c r="A295" s="6" t="s">
        <v>119</v>
      </c>
      <c r="B295" s="6" t="s">
        <v>7</v>
      </c>
      <c r="C295" s="7" t="s">
        <v>357</v>
      </c>
      <c r="D295" s="76">
        <v>42552</v>
      </c>
      <c r="E295" s="7" t="s">
        <v>1122</v>
      </c>
      <c r="G295" s="86" t="s">
        <v>1123</v>
      </c>
      <c r="H295" s="6"/>
    </row>
    <row r="296" spans="1:8" ht="17.100000000000001" customHeight="1" thickBot="1" x14ac:dyDescent="0.25">
      <c r="A296" s="6" t="s">
        <v>119</v>
      </c>
      <c r="B296" s="6" t="s">
        <v>7</v>
      </c>
      <c r="C296" s="7" t="s">
        <v>358</v>
      </c>
      <c r="D296" s="76">
        <v>42552</v>
      </c>
      <c r="E296" s="7" t="s">
        <v>1123</v>
      </c>
      <c r="G296" s="86" t="s">
        <v>1123</v>
      </c>
      <c r="H296" s="6"/>
    </row>
    <row r="297" spans="1:8" ht="17.100000000000001" customHeight="1" thickBot="1" x14ac:dyDescent="0.25">
      <c r="A297" s="6" t="s">
        <v>119</v>
      </c>
      <c r="B297" s="6" t="s">
        <v>7</v>
      </c>
      <c r="C297" s="7" t="s">
        <v>359</v>
      </c>
      <c r="D297" s="76">
        <v>42552</v>
      </c>
      <c r="E297" s="7" t="s">
        <v>1123</v>
      </c>
      <c r="G297" s="86" t="s">
        <v>1123</v>
      </c>
      <c r="H297" s="6"/>
    </row>
    <row r="298" spans="1:8" s="2" customFormat="1" ht="17.100000000000001" customHeight="1" thickBot="1" x14ac:dyDescent="0.25">
      <c r="A298" s="6" t="s">
        <v>119</v>
      </c>
      <c r="B298" s="6" t="s">
        <v>7</v>
      </c>
      <c r="C298" s="7" t="s">
        <v>1098</v>
      </c>
      <c r="D298" s="76">
        <v>42552</v>
      </c>
      <c r="E298" s="7" t="s">
        <v>1122</v>
      </c>
      <c r="F298" s="1"/>
      <c r="G298" s="86" t="s">
        <v>1123</v>
      </c>
      <c r="H298" s="6"/>
    </row>
    <row r="299" spans="1:8" s="2" customFormat="1" ht="17.100000000000001" customHeight="1" thickBot="1" x14ac:dyDescent="0.25">
      <c r="A299" s="6" t="s">
        <v>119</v>
      </c>
      <c r="B299" s="6" t="s">
        <v>7</v>
      </c>
      <c r="C299" s="7" t="s">
        <v>360</v>
      </c>
      <c r="D299" s="76">
        <v>42552</v>
      </c>
      <c r="E299" s="7" t="s">
        <v>1123</v>
      </c>
      <c r="F299" s="1"/>
      <c r="G299" s="86" t="s">
        <v>1123</v>
      </c>
      <c r="H299" s="6"/>
    </row>
    <row r="300" spans="1:8" ht="17.100000000000001" customHeight="1" thickBot="1" x14ac:dyDescent="0.25">
      <c r="A300" s="6" t="s">
        <v>119</v>
      </c>
      <c r="B300" s="6" t="s">
        <v>7</v>
      </c>
      <c r="C300" s="7" t="s">
        <v>361</v>
      </c>
      <c r="D300" s="76">
        <v>42552</v>
      </c>
      <c r="E300" s="7" t="s">
        <v>1123</v>
      </c>
      <c r="G300" s="86" t="s">
        <v>1123</v>
      </c>
      <c r="H300" s="6"/>
    </row>
    <row r="301" spans="1:8" ht="17.100000000000001" customHeight="1" thickBot="1" x14ac:dyDescent="0.25">
      <c r="A301" s="6" t="s">
        <v>119</v>
      </c>
      <c r="B301" s="6" t="s">
        <v>7</v>
      </c>
      <c r="C301" s="7" t="s">
        <v>1099</v>
      </c>
      <c r="D301" s="76">
        <v>42552</v>
      </c>
      <c r="E301" s="7" t="s">
        <v>1123</v>
      </c>
      <c r="G301" s="86" t="s">
        <v>1123</v>
      </c>
      <c r="H301" s="6"/>
    </row>
    <row r="302" spans="1:8" ht="17.100000000000001" customHeight="1" thickBot="1" x14ac:dyDescent="0.25">
      <c r="A302" s="6" t="s">
        <v>119</v>
      </c>
      <c r="B302" s="6" t="s">
        <v>7</v>
      </c>
      <c r="C302" s="7" t="s">
        <v>901</v>
      </c>
      <c r="D302" s="76">
        <v>42552</v>
      </c>
      <c r="E302" s="7" t="s">
        <v>1123</v>
      </c>
      <c r="G302" s="86" t="s">
        <v>1123</v>
      </c>
      <c r="H302" s="6"/>
    </row>
    <row r="303" spans="1:8" ht="17.100000000000001" customHeight="1" thickBot="1" x14ac:dyDescent="0.25">
      <c r="A303" s="6" t="s">
        <v>119</v>
      </c>
      <c r="B303" s="6" t="s">
        <v>7</v>
      </c>
      <c r="C303" s="7" t="s">
        <v>921</v>
      </c>
      <c r="D303" s="76">
        <v>42552</v>
      </c>
      <c r="E303" s="7" t="s">
        <v>1123</v>
      </c>
      <c r="G303" s="86" t="s">
        <v>1123</v>
      </c>
      <c r="H303" s="6"/>
    </row>
    <row r="304" spans="1:8" s="2" customFormat="1" ht="17.100000000000001" customHeight="1" thickBot="1" x14ac:dyDescent="0.25">
      <c r="A304" s="5" t="s">
        <v>120</v>
      </c>
      <c r="B304" s="5" t="s">
        <v>7</v>
      </c>
      <c r="C304" s="11" t="s">
        <v>501</v>
      </c>
      <c r="D304" s="75">
        <v>42552</v>
      </c>
      <c r="E304" s="11" t="s">
        <v>1123</v>
      </c>
      <c r="F304" s="1"/>
      <c r="G304" s="82" t="s">
        <v>1122</v>
      </c>
      <c r="H304" s="5"/>
    </row>
    <row r="305" spans="1:8" ht="17.100000000000001" customHeight="1" thickBot="1" x14ac:dyDescent="0.25">
      <c r="A305" s="5" t="s">
        <v>120</v>
      </c>
      <c r="B305" s="5" t="s">
        <v>7</v>
      </c>
      <c r="C305" s="11" t="s">
        <v>521</v>
      </c>
      <c r="D305" s="75">
        <v>42552</v>
      </c>
      <c r="E305" s="11" t="s">
        <v>1123</v>
      </c>
      <c r="G305" s="82" t="s">
        <v>1123</v>
      </c>
      <c r="H305" s="5"/>
    </row>
    <row r="306" spans="1:8" ht="17.100000000000001" customHeight="1" thickBot="1" x14ac:dyDescent="0.25">
      <c r="A306" s="5" t="s">
        <v>120</v>
      </c>
      <c r="B306" s="5" t="s">
        <v>7</v>
      </c>
      <c r="C306" s="11" t="s">
        <v>362</v>
      </c>
      <c r="D306" s="75">
        <v>42552</v>
      </c>
      <c r="E306" s="11" t="s">
        <v>1123</v>
      </c>
      <c r="G306" s="82" t="s">
        <v>1123</v>
      </c>
      <c r="H306" s="5"/>
    </row>
    <row r="307" spans="1:8" ht="17.100000000000001" customHeight="1" thickBot="1" x14ac:dyDescent="0.25">
      <c r="A307" s="5" t="s">
        <v>120</v>
      </c>
      <c r="B307" s="5" t="s">
        <v>7</v>
      </c>
      <c r="C307" s="11" t="s">
        <v>556</v>
      </c>
      <c r="D307" s="75">
        <v>42552</v>
      </c>
      <c r="E307" s="11" t="s">
        <v>1123</v>
      </c>
      <c r="G307" s="82" t="s">
        <v>1123</v>
      </c>
      <c r="H307" s="5"/>
    </row>
    <row r="308" spans="1:8" s="2" customFormat="1" ht="17.100000000000001" customHeight="1" thickBot="1" x14ac:dyDescent="0.25">
      <c r="A308" s="5" t="s">
        <v>120</v>
      </c>
      <c r="B308" s="5" t="s">
        <v>7</v>
      </c>
      <c r="C308" s="11" t="s">
        <v>537</v>
      </c>
      <c r="D308" s="75">
        <v>42552</v>
      </c>
      <c r="E308" s="11" t="s">
        <v>1123</v>
      </c>
      <c r="F308" s="1"/>
      <c r="G308" s="82" t="s">
        <v>1123</v>
      </c>
      <c r="H308" s="5"/>
    </row>
    <row r="309" spans="1:8" s="2" customFormat="1" ht="17.100000000000001" customHeight="1" thickBot="1" x14ac:dyDescent="0.25">
      <c r="A309" s="5" t="s">
        <v>120</v>
      </c>
      <c r="B309" s="5" t="s">
        <v>7</v>
      </c>
      <c r="C309" s="11" t="s">
        <v>363</v>
      </c>
      <c r="D309" s="75">
        <v>42552</v>
      </c>
      <c r="E309" s="11" t="s">
        <v>1123</v>
      </c>
      <c r="F309" s="1"/>
      <c r="G309" s="82" t="s">
        <v>1123</v>
      </c>
      <c r="H309" s="5"/>
    </row>
    <row r="310" spans="1:8" ht="17.100000000000001" customHeight="1" thickBot="1" x14ac:dyDescent="0.25">
      <c r="A310" s="5" t="s">
        <v>120</v>
      </c>
      <c r="B310" s="5" t="s">
        <v>7</v>
      </c>
      <c r="C310" s="11" t="s">
        <v>364</v>
      </c>
      <c r="D310" s="75">
        <v>42552</v>
      </c>
      <c r="E310" s="11" t="s">
        <v>1122</v>
      </c>
      <c r="G310" s="82" t="s">
        <v>1123</v>
      </c>
      <c r="H310" s="5"/>
    </row>
    <row r="311" spans="1:8" s="2" customFormat="1" ht="17.100000000000001" customHeight="1" thickBot="1" x14ac:dyDescent="0.25">
      <c r="A311" s="5" t="s">
        <v>120</v>
      </c>
      <c r="B311" s="5" t="s">
        <v>7</v>
      </c>
      <c r="C311" s="11" t="s">
        <v>365</v>
      </c>
      <c r="D311" s="75">
        <v>42552</v>
      </c>
      <c r="E311" s="11" t="s">
        <v>1123</v>
      </c>
      <c r="F311" s="1"/>
      <c r="G311" s="82" t="s">
        <v>1123</v>
      </c>
      <c r="H311" s="5"/>
    </row>
    <row r="312" spans="1:8" s="2" customFormat="1" ht="17.100000000000001" customHeight="1" thickBot="1" x14ac:dyDescent="0.25">
      <c r="A312" s="5" t="s">
        <v>120</v>
      </c>
      <c r="B312" s="5" t="s">
        <v>7</v>
      </c>
      <c r="C312" s="11" t="s">
        <v>366</v>
      </c>
      <c r="D312" s="75">
        <v>42552</v>
      </c>
      <c r="E312" s="11" t="s">
        <v>1123</v>
      </c>
      <c r="F312" s="1"/>
      <c r="G312" s="82" t="s">
        <v>1123</v>
      </c>
      <c r="H312" s="5"/>
    </row>
    <row r="313" spans="1:8" s="2" customFormat="1" ht="17.100000000000001" customHeight="1" thickBot="1" x14ac:dyDescent="0.25">
      <c r="A313" s="5" t="s">
        <v>120</v>
      </c>
      <c r="B313" s="5" t="s">
        <v>7</v>
      </c>
      <c r="C313" s="11" t="s">
        <v>488</v>
      </c>
      <c r="D313" s="75">
        <v>42552</v>
      </c>
      <c r="E313" s="11" t="s">
        <v>1123</v>
      </c>
      <c r="F313" s="1"/>
      <c r="G313" s="82" t="s">
        <v>1122</v>
      </c>
      <c r="H313" s="5"/>
    </row>
    <row r="314" spans="1:8" ht="17.100000000000001" customHeight="1" thickBot="1" x14ac:dyDescent="0.25">
      <c r="A314" s="5" t="s">
        <v>120</v>
      </c>
      <c r="B314" s="5" t="s">
        <v>7</v>
      </c>
      <c r="C314" s="11" t="s">
        <v>489</v>
      </c>
      <c r="D314" s="75">
        <v>42552</v>
      </c>
      <c r="E314" s="11" t="s">
        <v>1123</v>
      </c>
      <c r="G314" s="82" t="s">
        <v>1123</v>
      </c>
      <c r="H314" s="5"/>
    </row>
    <row r="315" spans="1:8" s="2" customFormat="1" ht="17.100000000000001" customHeight="1" thickBot="1" x14ac:dyDescent="0.25">
      <c r="A315" s="5" t="s">
        <v>120</v>
      </c>
      <c r="B315" s="5" t="s">
        <v>7</v>
      </c>
      <c r="C315" s="11" t="s">
        <v>490</v>
      </c>
      <c r="D315" s="75">
        <v>42552</v>
      </c>
      <c r="E315" s="11" t="s">
        <v>1122</v>
      </c>
      <c r="F315" s="1"/>
      <c r="G315" s="82" t="s">
        <v>1123</v>
      </c>
      <c r="H315" s="5"/>
    </row>
    <row r="316" spans="1:8" ht="17.100000000000001" customHeight="1" thickBot="1" x14ac:dyDescent="0.25">
      <c r="A316" s="5" t="s">
        <v>120</v>
      </c>
      <c r="B316" s="5" t="s">
        <v>7</v>
      </c>
      <c r="C316" s="11" t="s">
        <v>1113</v>
      </c>
      <c r="D316" s="75">
        <v>42552</v>
      </c>
      <c r="E316" s="11" t="s">
        <v>1123</v>
      </c>
      <c r="G316" s="82" t="s">
        <v>1123</v>
      </c>
      <c r="H316" s="5"/>
    </row>
    <row r="317" spans="1:8" ht="17.100000000000001" customHeight="1" thickBot="1" x14ac:dyDescent="0.25">
      <c r="A317" s="5" t="s">
        <v>120</v>
      </c>
      <c r="B317" s="5" t="s">
        <v>7</v>
      </c>
      <c r="C317" s="11" t="s">
        <v>502</v>
      </c>
      <c r="D317" s="75">
        <v>42552</v>
      </c>
      <c r="E317" s="11" t="s">
        <v>1123</v>
      </c>
      <c r="G317" s="82" t="s">
        <v>1123</v>
      </c>
      <c r="H317" s="5"/>
    </row>
    <row r="318" spans="1:8" s="2" customFormat="1" ht="17.100000000000001" customHeight="1" thickBot="1" x14ac:dyDescent="0.25">
      <c r="A318" s="5" t="s">
        <v>120</v>
      </c>
      <c r="B318" s="5" t="s">
        <v>121</v>
      </c>
      <c r="C318" s="11" t="s">
        <v>369</v>
      </c>
      <c r="D318" s="75">
        <v>42534</v>
      </c>
      <c r="E318" s="11" t="s">
        <v>1123</v>
      </c>
      <c r="F318" s="1"/>
      <c r="G318" s="82" t="s">
        <v>1123</v>
      </c>
      <c r="H318" s="5"/>
    </row>
    <row r="319" spans="1:8" s="2" customFormat="1" ht="17.100000000000001" customHeight="1" thickBot="1" x14ac:dyDescent="0.25">
      <c r="A319" s="5" t="s">
        <v>120</v>
      </c>
      <c r="B319" s="5" t="s">
        <v>491</v>
      </c>
      <c r="C319" s="11" t="s">
        <v>378</v>
      </c>
      <c r="D319" s="75">
        <v>42552</v>
      </c>
      <c r="E319" s="11" t="s">
        <v>1123</v>
      </c>
      <c r="F319" s="1"/>
      <c r="G319" s="82" t="s">
        <v>1122</v>
      </c>
      <c r="H319" s="5"/>
    </row>
    <row r="320" spans="1:8" s="27" customFormat="1" ht="17.100000000000001" customHeight="1" thickBot="1" x14ac:dyDescent="0.25">
      <c r="A320" s="5" t="s">
        <v>120</v>
      </c>
      <c r="B320" s="5" t="s">
        <v>491</v>
      </c>
      <c r="C320" s="11" t="s">
        <v>580</v>
      </c>
      <c r="D320" s="75">
        <v>42552</v>
      </c>
      <c r="E320" s="11" t="s">
        <v>1122</v>
      </c>
      <c r="F320" s="1"/>
      <c r="G320" s="82" t="s">
        <v>1123</v>
      </c>
      <c r="H320" s="5"/>
    </row>
    <row r="321" spans="1:8" s="2" customFormat="1" ht="17.100000000000001" customHeight="1" thickBot="1" x14ac:dyDescent="0.25">
      <c r="A321" s="5" t="s">
        <v>120</v>
      </c>
      <c r="B321" s="5" t="s">
        <v>907</v>
      </c>
      <c r="C321" s="11" t="s">
        <v>1168</v>
      </c>
      <c r="D321" s="75">
        <v>42552</v>
      </c>
      <c r="E321" s="11" t="s">
        <v>1122</v>
      </c>
      <c r="F321" s="1"/>
      <c r="G321" s="82" t="s">
        <v>1122</v>
      </c>
      <c r="H321" s="5"/>
    </row>
    <row r="322" spans="1:8" ht="17.100000000000001" customHeight="1" thickBot="1" x14ac:dyDescent="0.25">
      <c r="A322" s="7" t="s">
        <v>487</v>
      </c>
      <c r="B322" s="6" t="s">
        <v>7</v>
      </c>
      <c r="C322" s="7" t="s">
        <v>1131</v>
      </c>
      <c r="D322" s="76">
        <v>42552</v>
      </c>
      <c r="E322" s="7" t="s">
        <v>1123</v>
      </c>
      <c r="G322" s="86" t="s">
        <v>1123</v>
      </c>
      <c r="H322" s="6"/>
    </row>
    <row r="323" spans="1:8" s="2" customFormat="1" ht="17.100000000000001" customHeight="1" thickBot="1" x14ac:dyDescent="0.25">
      <c r="A323" s="7" t="s">
        <v>487</v>
      </c>
      <c r="B323" s="6" t="s">
        <v>7</v>
      </c>
      <c r="C323" s="7" t="s">
        <v>1132</v>
      </c>
      <c r="D323" s="76">
        <v>42552</v>
      </c>
      <c r="E323" s="7" t="s">
        <v>1123</v>
      </c>
      <c r="F323" s="1"/>
      <c r="G323" s="86" t="s">
        <v>1123</v>
      </c>
      <c r="H323" s="6"/>
    </row>
    <row r="324" spans="1:8" s="2" customFormat="1" ht="17.100000000000001" customHeight="1" thickBot="1" x14ac:dyDescent="0.25">
      <c r="A324" s="7" t="s">
        <v>487</v>
      </c>
      <c r="B324" s="6" t="s">
        <v>7</v>
      </c>
      <c r="C324" s="7" t="s">
        <v>1089</v>
      </c>
      <c r="D324" s="76">
        <v>42552</v>
      </c>
      <c r="E324" s="7" t="s">
        <v>1123</v>
      </c>
      <c r="F324" s="1"/>
      <c r="G324" s="86" t="s">
        <v>1123</v>
      </c>
      <c r="H324" s="6"/>
    </row>
    <row r="325" spans="1:8" ht="17.100000000000001" customHeight="1" thickBot="1" x14ac:dyDescent="0.25">
      <c r="A325" s="7" t="s">
        <v>487</v>
      </c>
      <c r="B325" s="6" t="s">
        <v>7</v>
      </c>
      <c r="C325" s="7" t="s">
        <v>1090</v>
      </c>
      <c r="D325" s="76">
        <v>42552</v>
      </c>
      <c r="E325" s="7" t="s">
        <v>1154</v>
      </c>
      <c r="G325" s="86" t="s">
        <v>1123</v>
      </c>
      <c r="H325" s="6"/>
    </row>
    <row r="326" spans="1:8" ht="17.100000000000001" customHeight="1" thickBot="1" x14ac:dyDescent="0.25">
      <c r="A326" s="7" t="s">
        <v>487</v>
      </c>
      <c r="B326" s="6" t="s">
        <v>7</v>
      </c>
      <c r="C326" s="7" t="s">
        <v>344</v>
      </c>
      <c r="D326" s="76">
        <v>42552</v>
      </c>
      <c r="E326" s="7" t="s">
        <v>1123</v>
      </c>
      <c r="G326" s="86" t="s">
        <v>1121</v>
      </c>
      <c r="H326" s="6"/>
    </row>
    <row r="327" spans="1:8" ht="17.100000000000001" customHeight="1" thickBot="1" x14ac:dyDescent="0.25">
      <c r="A327" s="7" t="s">
        <v>487</v>
      </c>
      <c r="B327" s="6" t="s">
        <v>114</v>
      </c>
      <c r="C327" s="7" t="s">
        <v>341</v>
      </c>
      <c r="D327" s="76">
        <v>42552</v>
      </c>
      <c r="E327" s="7" t="s">
        <v>1123</v>
      </c>
      <c r="G327" s="86" t="s">
        <v>1123</v>
      </c>
      <c r="H327" s="6"/>
    </row>
    <row r="328" spans="1:8" ht="17.100000000000001" customHeight="1" thickBot="1" x14ac:dyDescent="0.25">
      <c r="A328" s="7" t="s">
        <v>487</v>
      </c>
      <c r="B328" s="6" t="s">
        <v>115</v>
      </c>
      <c r="C328" s="7" t="s">
        <v>342</v>
      </c>
      <c r="D328" s="76">
        <v>42552</v>
      </c>
      <c r="E328" s="7" t="s">
        <v>1125</v>
      </c>
      <c r="G328" s="86" t="s">
        <v>1128</v>
      </c>
      <c r="H328" s="6"/>
    </row>
    <row r="329" spans="1:8" ht="17.100000000000001" customHeight="1" thickBot="1" x14ac:dyDescent="0.25">
      <c r="A329" s="7" t="s">
        <v>487</v>
      </c>
      <c r="B329" s="6" t="s">
        <v>116</v>
      </c>
      <c r="C329" s="7" t="s">
        <v>343</v>
      </c>
      <c r="D329" s="76">
        <v>42552</v>
      </c>
      <c r="E329" s="7" t="s">
        <v>1121</v>
      </c>
      <c r="G329" s="86" t="s">
        <v>1125</v>
      </c>
      <c r="H329" s="6"/>
    </row>
    <row r="330" spans="1:8" ht="17.100000000000001" customHeight="1" thickBot="1" x14ac:dyDescent="0.25">
      <c r="A330" s="5" t="s">
        <v>217</v>
      </c>
      <c r="B330" s="5" t="s">
        <v>7</v>
      </c>
      <c r="C330" s="11" t="s">
        <v>482</v>
      </c>
      <c r="D330" s="75">
        <v>42548</v>
      </c>
      <c r="E330" s="11" t="s">
        <v>1123</v>
      </c>
      <c r="G330" s="82" t="s">
        <v>1123</v>
      </c>
      <c r="H330" s="5"/>
    </row>
    <row r="331" spans="1:8" ht="17.100000000000001" customHeight="1" thickBot="1" x14ac:dyDescent="0.25">
      <c r="A331" s="5" t="s">
        <v>217</v>
      </c>
      <c r="B331" s="5" t="s">
        <v>7</v>
      </c>
      <c r="C331" s="11" t="s">
        <v>581</v>
      </c>
      <c r="D331" s="75">
        <v>42548</v>
      </c>
      <c r="E331" s="11" t="s">
        <v>1123</v>
      </c>
      <c r="G331" s="82" t="s">
        <v>1123</v>
      </c>
      <c r="H331" s="5"/>
    </row>
    <row r="332" spans="1:8" ht="17.100000000000001" customHeight="1" thickBot="1" x14ac:dyDescent="0.25">
      <c r="A332" s="5" t="s">
        <v>217</v>
      </c>
      <c r="B332" s="5" t="s">
        <v>7</v>
      </c>
      <c r="C332" s="11" t="s">
        <v>483</v>
      </c>
      <c r="D332" s="75">
        <v>42548</v>
      </c>
      <c r="E332" s="11" t="s">
        <v>1123</v>
      </c>
      <c r="G332" s="82" t="s">
        <v>1138</v>
      </c>
      <c r="H332" s="5"/>
    </row>
    <row r="333" spans="1:8" ht="17.100000000000001" customHeight="1" thickBot="1" x14ac:dyDescent="0.25">
      <c r="A333" s="5" t="s">
        <v>217</v>
      </c>
      <c r="B333" s="5" t="s">
        <v>7</v>
      </c>
      <c r="C333" s="11" t="s">
        <v>484</v>
      </c>
      <c r="D333" s="75">
        <v>42548</v>
      </c>
      <c r="E333" s="11" t="s">
        <v>1138</v>
      </c>
      <c r="G333" s="82" t="s">
        <v>1123</v>
      </c>
      <c r="H333" s="5"/>
    </row>
    <row r="334" spans="1:8" ht="17.100000000000001" customHeight="1" thickBot="1" x14ac:dyDescent="0.25">
      <c r="A334" s="5" t="s">
        <v>217</v>
      </c>
      <c r="B334" s="5" t="s">
        <v>218</v>
      </c>
      <c r="C334" s="11" t="s">
        <v>481</v>
      </c>
      <c r="D334" s="75">
        <v>42548</v>
      </c>
      <c r="E334" s="11" t="s">
        <v>1123</v>
      </c>
      <c r="G334" s="82" t="s">
        <v>1123</v>
      </c>
      <c r="H334" s="5"/>
    </row>
    <row r="335" spans="1:8" ht="17.100000000000001" customHeight="1" thickBot="1" x14ac:dyDescent="0.25">
      <c r="A335" s="6" t="s">
        <v>156</v>
      </c>
      <c r="B335" s="6" t="s">
        <v>7</v>
      </c>
      <c r="C335" s="7" t="s">
        <v>507</v>
      </c>
      <c r="D335" s="76">
        <v>42555</v>
      </c>
      <c r="E335" s="7" t="s">
        <v>1123</v>
      </c>
      <c r="G335" s="86" t="s">
        <v>1121</v>
      </c>
      <c r="H335" s="6"/>
    </row>
    <row r="336" spans="1:8" ht="17.100000000000001" customHeight="1" thickBot="1" x14ac:dyDescent="0.25">
      <c r="A336" s="6" t="s">
        <v>156</v>
      </c>
      <c r="B336" s="6" t="s">
        <v>7</v>
      </c>
      <c r="C336" s="7" t="s">
        <v>409</v>
      </c>
      <c r="D336" s="76">
        <v>42555</v>
      </c>
      <c r="E336" s="7" t="s">
        <v>1124</v>
      </c>
      <c r="G336" s="86" t="s">
        <v>1123</v>
      </c>
      <c r="H336" s="6"/>
    </row>
    <row r="337" spans="1:8" ht="17.100000000000001" customHeight="1" thickBot="1" x14ac:dyDescent="0.25">
      <c r="A337" s="6" t="s">
        <v>156</v>
      </c>
      <c r="B337" s="6" t="s">
        <v>157</v>
      </c>
      <c r="C337" s="7" t="s">
        <v>408</v>
      </c>
      <c r="D337" s="76">
        <v>42555</v>
      </c>
      <c r="E337" s="7" t="s">
        <v>1123</v>
      </c>
      <c r="G337" s="86" t="s">
        <v>1123</v>
      </c>
      <c r="H337" s="6"/>
    </row>
    <row r="338" spans="1:8" s="2" customFormat="1" ht="17.100000000000001" customHeight="1" thickBot="1" x14ac:dyDescent="0.25">
      <c r="A338" s="5" t="s">
        <v>101</v>
      </c>
      <c r="B338" s="5" t="s">
        <v>7</v>
      </c>
      <c r="C338" s="11" t="s">
        <v>1053</v>
      </c>
      <c r="D338" s="75">
        <v>42548</v>
      </c>
      <c r="E338" s="11" t="s">
        <v>1123</v>
      </c>
      <c r="F338" s="1"/>
      <c r="G338" s="82" t="s">
        <v>1123</v>
      </c>
      <c r="H338" s="5"/>
    </row>
    <row r="339" spans="1:8" ht="17.100000000000001" customHeight="1" thickBot="1" x14ac:dyDescent="0.25">
      <c r="A339" s="5" t="s">
        <v>101</v>
      </c>
      <c r="B339" s="5" t="s">
        <v>7</v>
      </c>
      <c r="C339" s="11" t="s">
        <v>1054</v>
      </c>
      <c r="D339" s="75">
        <v>42548</v>
      </c>
      <c r="E339" s="11" t="s">
        <v>1121</v>
      </c>
      <c r="G339" s="82" t="s">
        <v>1123</v>
      </c>
      <c r="H339" s="5"/>
    </row>
    <row r="340" spans="1:8" ht="17.100000000000001" customHeight="1" thickBot="1" x14ac:dyDescent="0.25">
      <c r="A340" s="5" t="s">
        <v>101</v>
      </c>
      <c r="B340" s="5" t="s">
        <v>7</v>
      </c>
      <c r="C340" s="11" t="s">
        <v>321</v>
      </c>
      <c r="D340" s="75">
        <v>42548</v>
      </c>
      <c r="E340" s="11" t="s">
        <v>1123</v>
      </c>
      <c r="G340" s="82" t="s">
        <v>1123</v>
      </c>
      <c r="H340" s="5"/>
    </row>
    <row r="341" spans="1:8" ht="17.100000000000001" customHeight="1" thickBot="1" x14ac:dyDescent="0.25">
      <c r="A341" s="5" t="s">
        <v>101</v>
      </c>
      <c r="B341" s="5" t="s">
        <v>7</v>
      </c>
      <c r="C341" s="11" t="s">
        <v>1055</v>
      </c>
      <c r="D341" s="75">
        <v>42548</v>
      </c>
      <c r="E341" s="11" t="s">
        <v>1123</v>
      </c>
      <c r="G341" s="82" t="s">
        <v>1122</v>
      </c>
      <c r="H341" s="5"/>
    </row>
    <row r="342" spans="1:8" ht="17.100000000000001" customHeight="1" thickBot="1" x14ac:dyDescent="0.25">
      <c r="A342" s="5" t="s">
        <v>101</v>
      </c>
      <c r="B342" s="5" t="s">
        <v>7</v>
      </c>
      <c r="C342" s="11" t="s">
        <v>1056</v>
      </c>
      <c r="D342" s="75">
        <v>42548</v>
      </c>
      <c r="E342" s="11" t="s">
        <v>1123</v>
      </c>
      <c r="G342" s="82" t="s">
        <v>1123</v>
      </c>
      <c r="H342" s="5"/>
    </row>
    <row r="343" spans="1:8" ht="17.100000000000001" customHeight="1" thickBot="1" x14ac:dyDescent="0.25">
      <c r="A343" s="5" t="s">
        <v>101</v>
      </c>
      <c r="B343" s="5" t="s">
        <v>7</v>
      </c>
      <c r="C343" s="11" t="s">
        <v>1057</v>
      </c>
      <c r="D343" s="75">
        <v>42548</v>
      </c>
      <c r="E343" s="11" t="s">
        <v>1123</v>
      </c>
      <c r="G343" s="82" t="s">
        <v>1123</v>
      </c>
      <c r="H343" s="5"/>
    </row>
    <row r="344" spans="1:8" ht="17.100000000000001" customHeight="1" thickBot="1" x14ac:dyDescent="0.25">
      <c r="A344" s="5" t="s">
        <v>101</v>
      </c>
      <c r="B344" s="5" t="s">
        <v>916</v>
      </c>
      <c r="C344" s="11" t="s">
        <v>1058</v>
      </c>
      <c r="D344" s="75">
        <v>42548</v>
      </c>
      <c r="E344" s="11" t="s">
        <v>1123</v>
      </c>
      <c r="G344" s="82" t="s">
        <v>1123</v>
      </c>
      <c r="H344" s="5"/>
    </row>
    <row r="345" spans="1:8" ht="17.100000000000001" customHeight="1" thickBot="1" x14ac:dyDescent="0.25">
      <c r="A345" s="6" t="s">
        <v>22</v>
      </c>
      <c r="B345" s="6" t="s">
        <v>7</v>
      </c>
      <c r="C345" s="7" t="s">
        <v>1133</v>
      </c>
      <c r="D345" s="76">
        <v>42551</v>
      </c>
      <c r="E345" s="7" t="s">
        <v>1124</v>
      </c>
      <c r="G345" s="86" t="s">
        <v>1123</v>
      </c>
      <c r="H345" s="6"/>
    </row>
    <row r="346" spans="1:8" ht="17.100000000000001" customHeight="1" thickBot="1" x14ac:dyDescent="0.25">
      <c r="A346" s="6" t="s">
        <v>22</v>
      </c>
      <c r="B346" s="6" t="s">
        <v>7</v>
      </c>
      <c r="C346" s="7" t="s">
        <v>972</v>
      </c>
      <c r="D346" s="76">
        <v>42551</v>
      </c>
      <c r="E346" s="7" t="s">
        <v>1123</v>
      </c>
      <c r="G346" s="86" t="s">
        <v>1123</v>
      </c>
      <c r="H346" s="6"/>
    </row>
    <row r="347" spans="1:8" ht="17.100000000000001" customHeight="1" thickBot="1" x14ac:dyDescent="0.25">
      <c r="A347" s="6" t="s">
        <v>22</v>
      </c>
      <c r="B347" s="6" t="s">
        <v>7</v>
      </c>
      <c r="C347" s="7" t="s">
        <v>973</v>
      </c>
      <c r="D347" s="76">
        <v>42551</v>
      </c>
      <c r="E347" s="7" t="s">
        <v>1123</v>
      </c>
      <c r="G347" s="86" t="s">
        <v>1123</v>
      </c>
      <c r="H347" s="6"/>
    </row>
    <row r="348" spans="1:8" ht="17.100000000000001" customHeight="1" thickBot="1" x14ac:dyDescent="0.25">
      <c r="A348" s="6" t="s">
        <v>22</v>
      </c>
      <c r="B348" s="6" t="s">
        <v>7</v>
      </c>
      <c r="C348" s="7" t="s">
        <v>254</v>
      </c>
      <c r="D348" s="76">
        <v>42551</v>
      </c>
      <c r="E348" s="7" t="s">
        <v>1123</v>
      </c>
      <c r="G348" s="86" t="s">
        <v>1124</v>
      </c>
      <c r="H348" s="6"/>
    </row>
    <row r="349" spans="1:8" ht="17.100000000000001" customHeight="1" thickBot="1" x14ac:dyDescent="0.25">
      <c r="A349" s="5" t="s">
        <v>131</v>
      </c>
      <c r="B349" s="5" t="s">
        <v>7</v>
      </c>
      <c r="C349" s="11" t="s">
        <v>379</v>
      </c>
      <c r="D349" s="75">
        <v>42552</v>
      </c>
      <c r="E349" s="11" t="s">
        <v>1123</v>
      </c>
      <c r="G349" s="82" t="s">
        <v>1124</v>
      </c>
      <c r="H349" s="5"/>
    </row>
    <row r="350" spans="1:8" ht="17.100000000000001" customHeight="1" thickBot="1" x14ac:dyDescent="0.25">
      <c r="A350" s="5" t="s">
        <v>131</v>
      </c>
      <c r="B350" s="5" t="s">
        <v>7</v>
      </c>
      <c r="C350" s="11" t="s">
        <v>582</v>
      </c>
      <c r="D350" s="75">
        <v>42551</v>
      </c>
      <c r="E350" s="11" t="s">
        <v>1123</v>
      </c>
      <c r="G350" s="82" t="s">
        <v>1123</v>
      </c>
      <c r="H350" s="5"/>
    </row>
    <row r="351" spans="1:8" ht="17.100000000000001" customHeight="1" thickBot="1" x14ac:dyDescent="0.25">
      <c r="A351" s="5" t="s">
        <v>131</v>
      </c>
      <c r="B351" s="5" t="s">
        <v>7</v>
      </c>
      <c r="C351" s="11" t="s">
        <v>380</v>
      </c>
      <c r="D351" s="75">
        <v>42551</v>
      </c>
      <c r="E351" s="11" t="s">
        <v>1123</v>
      </c>
      <c r="G351" s="82" t="s">
        <v>1123</v>
      </c>
      <c r="H351" s="5"/>
    </row>
    <row r="352" spans="1:8" s="2" customFormat="1" ht="17.100000000000001" customHeight="1" thickBot="1" x14ac:dyDescent="0.25">
      <c r="A352" s="5" t="s">
        <v>131</v>
      </c>
      <c r="B352" s="5" t="s">
        <v>7</v>
      </c>
      <c r="C352" s="11" t="s">
        <v>583</v>
      </c>
      <c r="D352" s="75">
        <v>42551</v>
      </c>
      <c r="E352" s="11" t="s">
        <v>1121</v>
      </c>
      <c r="F352" s="1"/>
      <c r="G352" s="82" t="s">
        <v>1123</v>
      </c>
      <c r="H352" s="5"/>
    </row>
    <row r="353" spans="1:8" ht="17.100000000000001" customHeight="1" thickBot="1" x14ac:dyDescent="0.25">
      <c r="A353" s="5" t="s">
        <v>131</v>
      </c>
      <c r="B353" s="5" t="s">
        <v>7</v>
      </c>
      <c r="C353" s="11" t="s">
        <v>381</v>
      </c>
      <c r="D353" s="75">
        <v>42552</v>
      </c>
      <c r="E353" s="11" t="s">
        <v>1123</v>
      </c>
      <c r="G353" s="82" t="s">
        <v>1123</v>
      </c>
      <c r="H353" s="5"/>
    </row>
    <row r="354" spans="1:8" s="24" customFormat="1" ht="17.100000000000001" customHeight="1" thickBot="1" x14ac:dyDescent="0.25">
      <c r="A354" s="5" t="s">
        <v>131</v>
      </c>
      <c r="B354" s="5" t="s">
        <v>7</v>
      </c>
      <c r="C354" s="11" t="s">
        <v>584</v>
      </c>
      <c r="D354" s="75">
        <v>42552</v>
      </c>
      <c r="E354" s="11" t="s">
        <v>1121</v>
      </c>
      <c r="F354" s="1"/>
      <c r="G354" s="82" t="s">
        <v>1123</v>
      </c>
      <c r="H354" s="5"/>
    </row>
    <row r="355" spans="1:8" s="2" customFormat="1" ht="17.100000000000001" customHeight="1" thickBot="1" x14ac:dyDescent="0.25">
      <c r="A355" s="5" t="s">
        <v>131</v>
      </c>
      <c r="B355" s="5" t="s">
        <v>7</v>
      </c>
      <c r="C355" s="11" t="s">
        <v>900</v>
      </c>
      <c r="D355" s="75">
        <v>42552</v>
      </c>
      <c r="E355" s="11" t="s">
        <v>1123</v>
      </c>
      <c r="F355" s="1"/>
      <c r="G355" s="82" t="s">
        <v>1123</v>
      </c>
      <c r="H355" s="5"/>
    </row>
    <row r="356" spans="1:8" s="2" customFormat="1" ht="17.100000000000001" customHeight="1" thickBot="1" x14ac:dyDescent="0.25">
      <c r="A356" s="5" t="s">
        <v>131</v>
      </c>
      <c r="B356" s="5" t="s">
        <v>132</v>
      </c>
      <c r="C356" s="11" t="s">
        <v>384</v>
      </c>
      <c r="D356" s="75">
        <v>42552</v>
      </c>
      <c r="E356" s="11" t="s">
        <v>1123</v>
      </c>
      <c r="F356" s="1"/>
      <c r="G356" s="82" t="s">
        <v>1123</v>
      </c>
      <c r="H356" s="5"/>
    </row>
    <row r="357" spans="1:8" s="2" customFormat="1" ht="17.100000000000001" customHeight="1" thickBot="1" x14ac:dyDescent="0.25">
      <c r="A357" s="6" t="s">
        <v>23</v>
      </c>
      <c r="B357" s="6" t="s">
        <v>7</v>
      </c>
      <c r="C357" s="7" t="s">
        <v>256</v>
      </c>
      <c r="D357" s="76">
        <v>42552</v>
      </c>
      <c r="E357" s="7" t="s">
        <v>1123</v>
      </c>
      <c r="F357" s="1"/>
      <c r="G357" s="86" t="s">
        <v>1123</v>
      </c>
      <c r="H357" s="6"/>
    </row>
    <row r="358" spans="1:8" s="2" customFormat="1" ht="17.100000000000001" customHeight="1" thickBot="1" x14ac:dyDescent="0.25">
      <c r="A358" s="6" t="s">
        <v>23</v>
      </c>
      <c r="B358" s="6" t="s">
        <v>7</v>
      </c>
      <c r="C358" s="7" t="s">
        <v>1134</v>
      </c>
      <c r="D358" s="76">
        <v>42552</v>
      </c>
      <c r="E358" s="7" t="s">
        <v>1125</v>
      </c>
      <c r="F358" s="1"/>
      <c r="G358" s="86" t="s">
        <v>1123</v>
      </c>
      <c r="H358" s="6"/>
    </row>
    <row r="359" spans="1:8" s="2" customFormat="1" ht="17.100000000000001" customHeight="1" thickBot="1" x14ac:dyDescent="0.25">
      <c r="A359" s="6" t="s">
        <v>23</v>
      </c>
      <c r="B359" s="6" t="s">
        <v>7</v>
      </c>
      <c r="C359" s="7" t="s">
        <v>970</v>
      </c>
      <c r="D359" s="76">
        <v>42552</v>
      </c>
      <c r="E359" s="7" t="s">
        <v>1123</v>
      </c>
      <c r="F359" s="1"/>
      <c r="G359" s="86" t="s">
        <v>1123</v>
      </c>
      <c r="H359" s="6"/>
    </row>
    <row r="360" spans="1:8" s="2" customFormat="1" ht="15.75" customHeight="1" thickBot="1" x14ac:dyDescent="0.25">
      <c r="A360" s="6" t="s">
        <v>23</v>
      </c>
      <c r="B360" s="6" t="s">
        <v>7</v>
      </c>
      <c r="C360" s="7" t="s">
        <v>971</v>
      </c>
      <c r="D360" s="76">
        <v>42552</v>
      </c>
      <c r="E360" s="7" t="s">
        <v>1123</v>
      </c>
      <c r="F360" s="1"/>
      <c r="G360" s="86" t="s">
        <v>1122</v>
      </c>
      <c r="H360" s="6"/>
    </row>
    <row r="361" spans="1:8" s="2" customFormat="1" ht="15.75" customHeight="1" thickBot="1" x14ac:dyDescent="0.25">
      <c r="A361" s="6" t="s">
        <v>23</v>
      </c>
      <c r="B361" s="6" t="s">
        <v>24</v>
      </c>
      <c r="C361" s="7" t="s">
        <v>255</v>
      </c>
      <c r="D361" s="76">
        <v>42552</v>
      </c>
      <c r="E361" s="7" t="s">
        <v>1123</v>
      </c>
      <c r="F361" s="1"/>
      <c r="G361" s="86" t="s">
        <v>1123</v>
      </c>
      <c r="H361" s="6"/>
    </row>
    <row r="362" spans="1:8" ht="15.75" customHeight="1" thickBot="1" x14ac:dyDescent="0.25">
      <c r="A362" s="5" t="s">
        <v>80</v>
      </c>
      <c r="B362" s="5" t="s">
        <v>7</v>
      </c>
      <c r="C362" s="11" t="s">
        <v>312</v>
      </c>
      <c r="D362" s="75">
        <v>42558</v>
      </c>
      <c r="E362" s="11" t="s">
        <v>1121</v>
      </c>
      <c r="G362" s="82" t="s">
        <v>1123</v>
      </c>
      <c r="H362" s="5"/>
    </row>
    <row r="363" spans="1:8" s="73" customFormat="1" ht="15.75" customHeight="1" thickBot="1" x14ac:dyDescent="0.25">
      <c r="A363" s="5" t="s">
        <v>80</v>
      </c>
      <c r="B363" s="5" t="s">
        <v>7</v>
      </c>
      <c r="C363" s="11" t="s">
        <v>1031</v>
      </c>
      <c r="D363" s="75">
        <v>42558</v>
      </c>
      <c r="E363" s="11" t="s">
        <v>1123</v>
      </c>
      <c r="F363" s="1"/>
      <c r="G363" s="82" t="s">
        <v>1121</v>
      </c>
      <c r="H363" s="5"/>
    </row>
    <row r="364" spans="1:8" s="2" customFormat="1" ht="15.75" customHeight="1" thickBot="1" x14ac:dyDescent="0.25">
      <c r="A364" s="5" t="s">
        <v>80</v>
      </c>
      <c r="B364" s="5" t="s">
        <v>81</v>
      </c>
      <c r="C364" s="11" t="s">
        <v>1032</v>
      </c>
      <c r="D364" s="75">
        <v>42552</v>
      </c>
      <c r="E364" s="11" t="s">
        <v>1123</v>
      </c>
      <c r="F364" s="1"/>
      <c r="G364" s="82" t="s">
        <v>1123</v>
      </c>
      <c r="H364" s="5"/>
    </row>
    <row r="365" spans="1:8" s="2" customFormat="1" ht="15.75" customHeight="1" thickBot="1" x14ac:dyDescent="0.25">
      <c r="A365" s="6" t="s">
        <v>133</v>
      </c>
      <c r="B365" s="6" t="s">
        <v>7</v>
      </c>
      <c r="C365" s="7" t="s">
        <v>503</v>
      </c>
      <c r="D365" s="76">
        <v>42538</v>
      </c>
      <c r="E365" s="7" t="s">
        <v>1123</v>
      </c>
      <c r="F365" s="1"/>
      <c r="G365" s="86" t="s">
        <v>1123</v>
      </c>
      <c r="H365" s="6"/>
    </row>
    <row r="366" spans="1:8" s="2" customFormat="1" ht="15.75" customHeight="1" thickBot="1" x14ac:dyDescent="0.25">
      <c r="A366" s="6" t="s">
        <v>133</v>
      </c>
      <c r="B366" s="6" t="s">
        <v>7</v>
      </c>
      <c r="C366" s="7" t="s">
        <v>585</v>
      </c>
      <c r="D366" s="76">
        <v>42538</v>
      </c>
      <c r="E366" s="7" t="s">
        <v>1123</v>
      </c>
      <c r="F366" s="1"/>
      <c r="G366" s="86" t="s">
        <v>1123</v>
      </c>
      <c r="H366" s="6"/>
    </row>
    <row r="367" spans="1:8" ht="15.75" customHeight="1" thickBot="1" x14ac:dyDescent="0.25">
      <c r="A367" s="6" t="s">
        <v>133</v>
      </c>
      <c r="B367" s="6" t="s">
        <v>7</v>
      </c>
      <c r="C367" s="7" t="s">
        <v>558</v>
      </c>
      <c r="D367" s="76">
        <v>42538</v>
      </c>
      <c r="E367" s="7" t="s">
        <v>1122</v>
      </c>
      <c r="G367" s="86" t="s">
        <v>1123</v>
      </c>
      <c r="H367" s="6"/>
    </row>
    <row r="368" spans="1:8" ht="15.75" customHeight="1" thickBot="1" x14ac:dyDescent="0.25">
      <c r="A368" s="6" t="s">
        <v>133</v>
      </c>
      <c r="B368" s="6" t="s">
        <v>7</v>
      </c>
      <c r="C368" s="7" t="s">
        <v>586</v>
      </c>
      <c r="D368" s="76">
        <v>42538</v>
      </c>
      <c r="E368" s="7" t="s">
        <v>1123</v>
      </c>
      <c r="G368" s="86" t="s">
        <v>1123</v>
      </c>
      <c r="H368" s="6"/>
    </row>
    <row r="369" spans="1:8" ht="15.75" customHeight="1" thickBot="1" x14ac:dyDescent="0.25">
      <c r="A369" s="6" t="s">
        <v>133</v>
      </c>
      <c r="B369" s="6" t="s">
        <v>7</v>
      </c>
      <c r="C369" s="7" t="s">
        <v>386</v>
      </c>
      <c r="D369" s="76">
        <v>42538</v>
      </c>
      <c r="E369" s="7" t="s">
        <v>1123</v>
      </c>
      <c r="G369" s="86" t="s">
        <v>1123</v>
      </c>
      <c r="H369" s="6"/>
    </row>
    <row r="370" spans="1:8" ht="15.75" customHeight="1" thickBot="1" x14ac:dyDescent="0.25">
      <c r="A370" s="6" t="s">
        <v>133</v>
      </c>
      <c r="B370" s="6" t="s">
        <v>7</v>
      </c>
      <c r="C370" s="7" t="s">
        <v>587</v>
      </c>
      <c r="D370" s="76">
        <v>42538</v>
      </c>
      <c r="E370" s="7" t="s">
        <v>1123</v>
      </c>
      <c r="G370" s="86" t="s">
        <v>1122</v>
      </c>
      <c r="H370" s="6"/>
    </row>
    <row r="371" spans="1:8" s="2" customFormat="1" ht="15.75" customHeight="1" thickBot="1" x14ac:dyDescent="0.25">
      <c r="A371" s="6" t="s">
        <v>133</v>
      </c>
      <c r="B371" s="6" t="s">
        <v>134</v>
      </c>
      <c r="C371" s="7" t="s">
        <v>385</v>
      </c>
      <c r="D371" s="76">
        <v>42538</v>
      </c>
      <c r="E371" s="7" t="s">
        <v>1123</v>
      </c>
      <c r="F371" s="1"/>
      <c r="G371" s="86" t="s">
        <v>1122</v>
      </c>
      <c r="H371" s="6"/>
    </row>
    <row r="372" spans="1:8" s="2" customFormat="1" ht="15.75" customHeight="1" thickBot="1" x14ac:dyDescent="0.25">
      <c r="A372" s="6" t="s">
        <v>133</v>
      </c>
      <c r="B372" s="6" t="s">
        <v>134</v>
      </c>
      <c r="C372" s="7" t="s">
        <v>588</v>
      </c>
      <c r="D372" s="76">
        <v>42538</v>
      </c>
      <c r="E372" s="7" t="s">
        <v>1122</v>
      </c>
      <c r="F372" s="1"/>
      <c r="G372" s="86" t="s">
        <v>1123</v>
      </c>
      <c r="H372" s="6"/>
    </row>
    <row r="373" spans="1:8" s="2" customFormat="1" ht="15.75" customHeight="1" thickBot="1" x14ac:dyDescent="0.25">
      <c r="A373" s="6" t="s">
        <v>133</v>
      </c>
      <c r="B373" s="6" t="s">
        <v>135</v>
      </c>
      <c r="C373" s="7" t="s">
        <v>387</v>
      </c>
      <c r="D373" s="76">
        <v>42538</v>
      </c>
      <c r="E373" s="7" t="s">
        <v>1122</v>
      </c>
      <c r="F373" s="1"/>
      <c r="G373" s="86" t="s">
        <v>1123</v>
      </c>
      <c r="H373" s="6"/>
    </row>
    <row r="374" spans="1:8" ht="15.75" customHeight="1" thickBot="1" x14ac:dyDescent="0.25">
      <c r="A374" s="5" t="s">
        <v>117</v>
      </c>
      <c r="B374" s="5" t="s">
        <v>7</v>
      </c>
      <c r="C374" s="11" t="s">
        <v>345</v>
      </c>
      <c r="D374" s="75">
        <v>42551</v>
      </c>
      <c r="E374" s="11" t="s">
        <v>1122</v>
      </c>
      <c r="G374" s="82" t="s">
        <v>1123</v>
      </c>
      <c r="H374" s="5"/>
    </row>
    <row r="375" spans="1:8" ht="15.75" customHeight="1" thickBot="1" x14ac:dyDescent="0.25">
      <c r="A375" s="5" t="s">
        <v>117</v>
      </c>
      <c r="B375" s="5" t="s">
        <v>7</v>
      </c>
      <c r="C375" s="11" t="s">
        <v>1091</v>
      </c>
      <c r="D375" s="75">
        <v>42551</v>
      </c>
      <c r="E375" s="11" t="s">
        <v>1123</v>
      </c>
      <c r="G375" s="82" t="s">
        <v>1123</v>
      </c>
      <c r="H375" s="5"/>
    </row>
    <row r="376" spans="1:8" ht="15.75" customHeight="1" thickBot="1" x14ac:dyDescent="0.25">
      <c r="A376" s="5" t="s">
        <v>117</v>
      </c>
      <c r="B376" s="5" t="s">
        <v>7</v>
      </c>
      <c r="C376" s="11" t="s">
        <v>1092</v>
      </c>
      <c r="D376" s="75">
        <v>42551</v>
      </c>
      <c r="E376" s="11" t="s">
        <v>1123</v>
      </c>
      <c r="G376" s="82" t="s">
        <v>1123</v>
      </c>
      <c r="H376" s="5"/>
    </row>
    <row r="377" spans="1:8" s="2" customFormat="1" ht="15.75" customHeight="1" thickBot="1" x14ac:dyDescent="0.25">
      <c r="A377" s="5" t="s">
        <v>117</v>
      </c>
      <c r="B377" s="5" t="s">
        <v>7</v>
      </c>
      <c r="C377" s="11" t="s">
        <v>346</v>
      </c>
      <c r="D377" s="75">
        <v>42551</v>
      </c>
      <c r="E377" s="11" t="s">
        <v>1123</v>
      </c>
      <c r="F377" s="1"/>
      <c r="G377" s="82" t="s">
        <v>1123</v>
      </c>
      <c r="H377" s="5"/>
    </row>
    <row r="378" spans="1:8" s="30" customFormat="1" ht="15.75" customHeight="1" thickBot="1" x14ac:dyDescent="0.25">
      <c r="A378" s="5" t="s">
        <v>117</v>
      </c>
      <c r="B378" s="5" t="s">
        <v>7</v>
      </c>
      <c r="C378" s="11" t="s">
        <v>1093</v>
      </c>
      <c r="D378" s="75">
        <v>42551</v>
      </c>
      <c r="E378" s="11" t="s">
        <v>1123</v>
      </c>
      <c r="F378" s="1"/>
      <c r="G378" s="82" t="s">
        <v>1122</v>
      </c>
      <c r="H378" s="5"/>
    </row>
    <row r="379" spans="1:8" s="73" customFormat="1" ht="15.75" customHeight="1" thickBot="1" x14ac:dyDescent="0.25">
      <c r="A379" s="5" t="s">
        <v>117</v>
      </c>
      <c r="B379" s="5" t="s">
        <v>7</v>
      </c>
      <c r="C379" s="11" t="s">
        <v>1094</v>
      </c>
      <c r="D379" s="75">
        <v>42551</v>
      </c>
      <c r="E379" s="11" t="s">
        <v>1123</v>
      </c>
      <c r="F379" s="1"/>
      <c r="G379" s="82" t="s">
        <v>1123</v>
      </c>
      <c r="H379" s="5"/>
    </row>
    <row r="380" spans="1:8" s="2" customFormat="1" ht="15.75" customHeight="1" thickBot="1" x14ac:dyDescent="0.25">
      <c r="A380" s="5" t="s">
        <v>117</v>
      </c>
      <c r="B380" s="5" t="s">
        <v>7</v>
      </c>
      <c r="C380" s="11" t="s">
        <v>943</v>
      </c>
      <c r="D380" s="75">
        <v>42551</v>
      </c>
      <c r="E380" s="11" t="s">
        <v>1123</v>
      </c>
      <c r="F380" s="1"/>
      <c r="G380" s="82" t="s">
        <v>1123</v>
      </c>
      <c r="H380" s="5"/>
    </row>
    <row r="381" spans="1:8" s="2" customFormat="1" ht="15.75" customHeight="1" thickBot="1" x14ac:dyDescent="0.25">
      <c r="A381" s="6" t="s">
        <v>41</v>
      </c>
      <c r="B381" s="6" t="s">
        <v>7</v>
      </c>
      <c r="C381" s="7" t="s">
        <v>994</v>
      </c>
      <c r="D381" s="76">
        <v>42552</v>
      </c>
      <c r="E381" s="7" t="s">
        <v>1123</v>
      </c>
      <c r="F381" s="1"/>
      <c r="G381" s="86" t="s">
        <v>1122</v>
      </c>
      <c r="H381" s="6"/>
    </row>
    <row r="382" spans="1:8" s="2" customFormat="1" ht="15.75" customHeight="1" thickBot="1" x14ac:dyDescent="0.25">
      <c r="A382" s="6" t="s">
        <v>41</v>
      </c>
      <c r="B382" s="6" t="s">
        <v>7</v>
      </c>
      <c r="C382" s="7" t="s">
        <v>995</v>
      </c>
      <c r="D382" s="76">
        <v>42552</v>
      </c>
      <c r="E382" s="7" t="s">
        <v>1165</v>
      </c>
      <c r="F382" s="1"/>
      <c r="G382" s="86" t="s">
        <v>1123</v>
      </c>
      <c r="H382" s="6"/>
    </row>
    <row r="383" spans="1:8" ht="15.75" customHeight="1" thickBot="1" x14ac:dyDescent="0.25">
      <c r="A383" s="6" t="s">
        <v>41</v>
      </c>
      <c r="B383" s="6" t="s">
        <v>7</v>
      </c>
      <c r="C383" s="7" t="s">
        <v>996</v>
      </c>
      <c r="D383" s="76">
        <v>42552</v>
      </c>
      <c r="E383" s="7" t="s">
        <v>1123</v>
      </c>
      <c r="G383" s="86" t="s">
        <v>1123</v>
      </c>
      <c r="H383" s="6"/>
    </row>
    <row r="384" spans="1:8" ht="15.75" customHeight="1" thickBot="1" x14ac:dyDescent="0.25">
      <c r="A384" s="6" t="s">
        <v>41</v>
      </c>
      <c r="B384" s="6" t="s">
        <v>7</v>
      </c>
      <c r="C384" s="7" t="s">
        <v>589</v>
      </c>
      <c r="D384" s="76">
        <v>42552</v>
      </c>
      <c r="E384" s="7" t="s">
        <v>1123</v>
      </c>
      <c r="G384" s="86" t="s">
        <v>1123</v>
      </c>
      <c r="H384" s="6"/>
    </row>
    <row r="385" spans="1:8" s="2" customFormat="1" ht="15.75" customHeight="1" thickBot="1" x14ac:dyDescent="0.25">
      <c r="A385" s="6" t="s">
        <v>41</v>
      </c>
      <c r="B385" s="6" t="s">
        <v>7</v>
      </c>
      <c r="C385" s="7" t="s">
        <v>997</v>
      </c>
      <c r="D385" s="76">
        <v>42552</v>
      </c>
      <c r="E385" s="7" t="s">
        <v>1123</v>
      </c>
      <c r="F385" s="1"/>
      <c r="G385" s="86" t="s">
        <v>1123</v>
      </c>
      <c r="H385" s="6"/>
    </row>
    <row r="386" spans="1:8" s="2" customFormat="1" ht="15.75" customHeight="1" thickBot="1" x14ac:dyDescent="0.25">
      <c r="A386" s="6" t="s">
        <v>41</v>
      </c>
      <c r="B386" s="6" t="s">
        <v>7</v>
      </c>
      <c r="C386" s="7" t="s">
        <v>998</v>
      </c>
      <c r="D386" s="76">
        <v>42552</v>
      </c>
      <c r="E386" s="7" t="s">
        <v>1123</v>
      </c>
      <c r="F386" s="1"/>
      <c r="G386" s="86" t="s">
        <v>1123</v>
      </c>
      <c r="H386" s="6"/>
    </row>
    <row r="387" spans="1:8" s="2" customFormat="1" ht="15.75" customHeight="1" thickBot="1" x14ac:dyDescent="0.25">
      <c r="A387" s="6" t="s">
        <v>41</v>
      </c>
      <c r="B387" s="6" t="s">
        <v>7</v>
      </c>
      <c r="C387" s="7" t="s">
        <v>999</v>
      </c>
      <c r="D387" s="76">
        <v>42552</v>
      </c>
      <c r="E387" s="7" t="s">
        <v>1123</v>
      </c>
      <c r="F387" s="1"/>
      <c r="G387" s="86" t="s">
        <v>1123</v>
      </c>
      <c r="H387" s="6"/>
    </row>
    <row r="388" spans="1:8" ht="15.75" customHeight="1" thickBot="1" x14ac:dyDescent="0.25">
      <c r="A388" s="6" t="s">
        <v>41</v>
      </c>
      <c r="B388" s="6" t="s">
        <v>42</v>
      </c>
      <c r="C388" s="7" t="s">
        <v>269</v>
      </c>
      <c r="D388" s="76">
        <v>42552</v>
      </c>
      <c r="E388" s="7" t="s">
        <v>1164</v>
      </c>
      <c r="G388" s="86" t="s">
        <v>1159</v>
      </c>
      <c r="H388" s="6"/>
    </row>
    <row r="389" spans="1:8" ht="15.75" customHeight="1" thickBot="1" x14ac:dyDescent="0.25">
      <c r="A389" s="6" t="s">
        <v>41</v>
      </c>
      <c r="B389" s="6" t="s">
        <v>43</v>
      </c>
      <c r="C389" s="7" t="s">
        <v>271</v>
      </c>
      <c r="D389" s="76">
        <v>42552</v>
      </c>
      <c r="E389" s="7" t="s">
        <v>1122</v>
      </c>
      <c r="G389" s="86" t="s">
        <v>1123</v>
      </c>
      <c r="H389" s="6"/>
    </row>
    <row r="390" spans="1:8" s="2" customFormat="1" ht="15.75" customHeight="1" thickBot="1" x14ac:dyDescent="0.25">
      <c r="A390" s="6" t="s">
        <v>41</v>
      </c>
      <c r="B390" s="6" t="s">
        <v>43</v>
      </c>
      <c r="C390" s="7" t="s">
        <v>1000</v>
      </c>
      <c r="D390" s="76">
        <v>42552</v>
      </c>
      <c r="E390" s="7" t="s">
        <v>1123</v>
      </c>
      <c r="F390" s="1"/>
      <c r="G390" s="86" t="s">
        <v>1122</v>
      </c>
      <c r="H390" s="6"/>
    </row>
    <row r="391" spans="1:8" s="72" customFormat="1" ht="15.75" customHeight="1" thickBot="1" x14ac:dyDescent="0.25">
      <c r="A391" s="6" t="s">
        <v>41</v>
      </c>
      <c r="B391" s="6" t="s">
        <v>44</v>
      </c>
      <c r="C391" s="7" t="s">
        <v>1135</v>
      </c>
      <c r="D391" s="76">
        <v>42552</v>
      </c>
      <c r="E391" s="7" t="s">
        <v>1123</v>
      </c>
      <c r="F391" s="1"/>
      <c r="G391" s="86" t="s">
        <v>1123</v>
      </c>
      <c r="H391" s="6"/>
    </row>
    <row r="392" spans="1:8" s="2" customFormat="1" ht="15.75" customHeight="1" thickBot="1" x14ac:dyDescent="0.25">
      <c r="A392" s="6" t="s">
        <v>41</v>
      </c>
      <c r="B392" s="6" t="s">
        <v>929</v>
      </c>
      <c r="C392" s="7" t="s">
        <v>1166</v>
      </c>
      <c r="D392" s="76">
        <v>42552</v>
      </c>
      <c r="E392" s="7" t="s">
        <v>1122</v>
      </c>
      <c r="F392" s="1"/>
      <c r="G392" s="86" t="s">
        <v>1122</v>
      </c>
      <c r="H392" s="6"/>
    </row>
    <row r="393" spans="1:8" ht="15.75" customHeight="1" thickBot="1" x14ac:dyDescent="0.25">
      <c r="A393" s="5" t="s">
        <v>146</v>
      </c>
      <c r="B393" s="5" t="s">
        <v>7</v>
      </c>
      <c r="C393" s="11" t="s">
        <v>396</v>
      </c>
      <c r="D393" s="75">
        <v>42548</v>
      </c>
      <c r="E393" s="11" t="s">
        <v>1123</v>
      </c>
      <c r="G393" s="82" t="s">
        <v>1123</v>
      </c>
      <c r="H393" s="5"/>
    </row>
    <row r="394" spans="1:8" ht="15.75" customHeight="1" thickBot="1" x14ac:dyDescent="0.25">
      <c r="A394" s="5" t="s">
        <v>146</v>
      </c>
      <c r="B394" s="5" t="s">
        <v>7</v>
      </c>
      <c r="C394" s="11" t="s">
        <v>590</v>
      </c>
      <c r="D394" s="75">
        <v>42548</v>
      </c>
      <c r="E394" s="11" t="s">
        <v>1123</v>
      </c>
      <c r="G394" s="82" t="s">
        <v>1122</v>
      </c>
      <c r="H394" s="5"/>
    </row>
    <row r="395" spans="1:8" ht="15.75" customHeight="1" thickBot="1" x14ac:dyDescent="0.25">
      <c r="A395" s="5" t="s">
        <v>146</v>
      </c>
      <c r="B395" s="5" t="s">
        <v>7</v>
      </c>
      <c r="C395" s="11" t="s">
        <v>508</v>
      </c>
      <c r="D395" s="75">
        <v>42548</v>
      </c>
      <c r="E395" s="11" t="s">
        <v>1123</v>
      </c>
      <c r="G395" s="82" t="s">
        <v>1123</v>
      </c>
      <c r="H395" s="5"/>
    </row>
    <row r="396" spans="1:8" ht="15.75" customHeight="1" thickBot="1" x14ac:dyDescent="0.25">
      <c r="A396" s="5" t="s">
        <v>146</v>
      </c>
      <c r="B396" s="5" t="s">
        <v>7</v>
      </c>
      <c r="C396" s="11" t="s">
        <v>397</v>
      </c>
      <c r="D396" s="75">
        <v>42548</v>
      </c>
      <c r="E396" s="11" t="s">
        <v>1123</v>
      </c>
      <c r="G396" s="82" t="s">
        <v>1123</v>
      </c>
      <c r="H396" s="5"/>
    </row>
    <row r="397" spans="1:8" s="2" customFormat="1" ht="15.75" customHeight="1" thickBot="1" x14ac:dyDescent="0.25">
      <c r="A397" s="5" t="s">
        <v>146</v>
      </c>
      <c r="B397" s="5" t="s">
        <v>7</v>
      </c>
      <c r="C397" s="11" t="s">
        <v>398</v>
      </c>
      <c r="D397" s="75">
        <v>42548</v>
      </c>
      <c r="E397" s="11" t="s">
        <v>1123</v>
      </c>
      <c r="F397" s="1"/>
      <c r="G397" s="82" t="s">
        <v>1123</v>
      </c>
      <c r="H397" s="5"/>
    </row>
    <row r="398" spans="1:8" s="2" customFormat="1" ht="15.75" customHeight="1" thickBot="1" x14ac:dyDescent="0.25">
      <c r="A398" s="5" t="s">
        <v>146</v>
      </c>
      <c r="B398" s="5" t="s">
        <v>7</v>
      </c>
      <c r="C398" s="11" t="s">
        <v>509</v>
      </c>
      <c r="D398" s="75">
        <v>42548</v>
      </c>
      <c r="E398" s="11" t="s">
        <v>1123</v>
      </c>
      <c r="F398" s="1"/>
      <c r="G398" s="82" t="s">
        <v>1123</v>
      </c>
      <c r="H398" s="5"/>
    </row>
    <row r="399" spans="1:8" s="2" customFormat="1" ht="15.75" customHeight="1" thickBot="1" x14ac:dyDescent="0.25">
      <c r="A399" s="5" t="s">
        <v>146</v>
      </c>
      <c r="B399" s="5" t="s">
        <v>7</v>
      </c>
      <c r="C399" s="11" t="s">
        <v>399</v>
      </c>
      <c r="D399" s="75">
        <v>42548</v>
      </c>
      <c r="E399" s="11" t="s">
        <v>1123</v>
      </c>
      <c r="F399" s="1"/>
      <c r="G399" s="82" t="s">
        <v>1123</v>
      </c>
      <c r="H399" s="5"/>
    </row>
    <row r="400" spans="1:8" ht="15.75" customHeight="1" thickBot="1" x14ac:dyDescent="0.25">
      <c r="A400" s="5" t="s">
        <v>146</v>
      </c>
      <c r="B400" s="5" t="s">
        <v>7</v>
      </c>
      <c r="C400" s="11" t="s">
        <v>891</v>
      </c>
      <c r="D400" s="75">
        <v>42548</v>
      </c>
      <c r="E400" s="11" t="s">
        <v>1125</v>
      </c>
      <c r="G400" s="82" t="s">
        <v>1123</v>
      </c>
      <c r="H400" s="5"/>
    </row>
    <row r="401" spans="1:8" s="2" customFormat="1" ht="15.75" customHeight="1" thickBot="1" x14ac:dyDescent="0.25">
      <c r="A401" s="5" t="s">
        <v>146</v>
      </c>
      <c r="B401" s="5" t="s">
        <v>7</v>
      </c>
      <c r="C401" s="11" t="s">
        <v>400</v>
      </c>
      <c r="D401" s="75">
        <v>42548</v>
      </c>
      <c r="E401" s="11" t="s">
        <v>1123</v>
      </c>
      <c r="F401" s="1"/>
      <c r="G401" s="82" t="s">
        <v>1123</v>
      </c>
      <c r="H401" s="5"/>
    </row>
    <row r="402" spans="1:8" ht="15.75" customHeight="1" thickBot="1" x14ac:dyDescent="0.25">
      <c r="A402" s="5" t="s">
        <v>146</v>
      </c>
      <c r="B402" s="5" t="s">
        <v>7</v>
      </c>
      <c r="C402" s="11" t="s">
        <v>591</v>
      </c>
      <c r="D402" s="75">
        <v>42548</v>
      </c>
      <c r="E402" s="11" t="s">
        <v>1123</v>
      </c>
      <c r="G402" s="82" t="s">
        <v>1123</v>
      </c>
      <c r="H402" s="5"/>
    </row>
    <row r="403" spans="1:8" ht="15.75" customHeight="1" thickBot="1" x14ac:dyDescent="0.25">
      <c r="A403" s="20" t="s">
        <v>146</v>
      </c>
      <c r="B403" s="20" t="s">
        <v>147</v>
      </c>
      <c r="C403" s="21" t="s">
        <v>403</v>
      </c>
      <c r="D403" s="75">
        <v>42566</v>
      </c>
      <c r="E403" s="21" t="s">
        <v>1123</v>
      </c>
      <c r="G403" s="87" t="s">
        <v>1123</v>
      </c>
      <c r="H403" s="20"/>
    </row>
    <row r="404" spans="1:8" s="2" customFormat="1" ht="15.75" customHeight="1" thickBot="1" x14ac:dyDescent="0.25">
      <c r="A404" s="20" t="s">
        <v>146</v>
      </c>
      <c r="B404" s="20" t="s">
        <v>148</v>
      </c>
      <c r="C404" s="21" t="s">
        <v>404</v>
      </c>
      <c r="D404" s="75">
        <v>42548</v>
      </c>
      <c r="E404" s="21" t="s">
        <v>1123</v>
      </c>
      <c r="F404" s="1"/>
      <c r="G404" s="87" t="s">
        <v>1123</v>
      </c>
      <c r="H404" s="20"/>
    </row>
    <row r="405" spans="1:8" ht="15.75" customHeight="1" thickBot="1" x14ac:dyDescent="0.25">
      <c r="A405" s="20" t="s">
        <v>146</v>
      </c>
      <c r="B405" s="20" t="s">
        <v>149</v>
      </c>
      <c r="C405" s="21" t="s">
        <v>510</v>
      </c>
      <c r="D405" s="75">
        <v>42548</v>
      </c>
      <c r="E405" s="21" t="s">
        <v>1123</v>
      </c>
      <c r="G405" s="87" t="s">
        <v>1123</v>
      </c>
      <c r="H405" s="20"/>
    </row>
    <row r="406" spans="1:8" ht="15.75" customHeight="1" thickBot="1" x14ac:dyDescent="0.25">
      <c r="A406" s="20" t="s">
        <v>146</v>
      </c>
      <c r="B406" s="20" t="s">
        <v>532</v>
      </c>
      <c r="C406" s="21" t="s">
        <v>531</v>
      </c>
      <c r="D406" s="75">
        <v>42548</v>
      </c>
      <c r="E406" s="21" t="s">
        <v>1123</v>
      </c>
      <c r="G406" s="87" t="s">
        <v>1123</v>
      </c>
      <c r="H406" s="20"/>
    </row>
    <row r="407" spans="1:8" ht="15.75" customHeight="1" thickBot="1" x14ac:dyDescent="0.25">
      <c r="A407" s="20" t="s">
        <v>146</v>
      </c>
      <c r="B407" s="20" t="s">
        <v>150</v>
      </c>
      <c r="C407" s="21" t="s">
        <v>405</v>
      </c>
      <c r="D407" s="75">
        <v>42548</v>
      </c>
      <c r="E407" s="21" t="s">
        <v>1123</v>
      </c>
      <c r="G407" s="87" t="s">
        <v>1123</v>
      </c>
      <c r="H407" s="20"/>
    </row>
    <row r="408" spans="1:8" ht="15.75" customHeight="1" thickBot="1" x14ac:dyDescent="0.25">
      <c r="A408" s="20" t="s">
        <v>146</v>
      </c>
      <c r="B408" s="20" t="s">
        <v>151</v>
      </c>
      <c r="C408" s="21" t="s">
        <v>406</v>
      </c>
      <c r="D408" s="75">
        <v>42548</v>
      </c>
      <c r="E408" s="21" t="s">
        <v>1123</v>
      </c>
      <c r="G408" s="87" t="s">
        <v>1123</v>
      </c>
      <c r="H408" s="20"/>
    </row>
    <row r="409" spans="1:8" ht="15.75" customHeight="1" thickBot="1" x14ac:dyDescent="0.25">
      <c r="A409" s="20" t="s">
        <v>146</v>
      </c>
      <c r="B409" s="20" t="s">
        <v>151</v>
      </c>
      <c r="C409" s="21" t="s">
        <v>407</v>
      </c>
      <c r="D409" s="75">
        <v>42548</v>
      </c>
      <c r="E409" s="21" t="s">
        <v>1123</v>
      </c>
      <c r="G409" s="87" t="s">
        <v>1123</v>
      </c>
      <c r="H409" s="20"/>
    </row>
    <row r="410" spans="1:8" s="2" customFormat="1" ht="15.75" customHeight="1" thickBot="1" x14ac:dyDescent="0.25">
      <c r="A410" s="20" t="s">
        <v>146</v>
      </c>
      <c r="B410" s="20" t="s">
        <v>544</v>
      </c>
      <c r="C410" s="21" t="s">
        <v>545</v>
      </c>
      <c r="D410" s="75">
        <v>42576</v>
      </c>
      <c r="E410" s="21" t="s">
        <v>1123</v>
      </c>
      <c r="F410" s="1"/>
      <c r="G410" s="87" t="s">
        <v>1123</v>
      </c>
      <c r="H410" s="20"/>
    </row>
    <row r="411" spans="1:8" s="2" customFormat="1" ht="15.75" customHeight="1" thickBot="1" x14ac:dyDescent="0.25">
      <c r="A411" s="20" t="s">
        <v>146</v>
      </c>
      <c r="B411" s="20" t="s">
        <v>524</v>
      </c>
      <c r="C411" s="21" t="s">
        <v>525</v>
      </c>
      <c r="D411" s="75">
        <v>42548</v>
      </c>
      <c r="E411" s="21" t="s">
        <v>1123</v>
      </c>
      <c r="F411" s="1"/>
      <c r="G411" s="87" t="s">
        <v>1123</v>
      </c>
      <c r="H411" s="20"/>
    </row>
    <row r="412" spans="1:8" ht="15.75" customHeight="1" thickBot="1" x14ac:dyDescent="0.25">
      <c r="A412" s="20" t="s">
        <v>146</v>
      </c>
      <c r="B412" s="20" t="s">
        <v>870</v>
      </c>
      <c r="C412" s="21" t="s">
        <v>871</v>
      </c>
      <c r="D412" s="75">
        <v>42548</v>
      </c>
      <c r="E412" s="21" t="s">
        <v>1123</v>
      </c>
      <c r="G412" s="87" t="s">
        <v>1123</v>
      </c>
      <c r="H412" s="20"/>
    </row>
    <row r="413" spans="1:8" ht="17.100000000000001" customHeight="1" thickBot="1" x14ac:dyDescent="0.25">
      <c r="A413" s="20" t="s">
        <v>146</v>
      </c>
      <c r="B413" s="20" t="s">
        <v>152</v>
      </c>
      <c r="C413" s="21" t="s">
        <v>511</v>
      </c>
      <c r="D413" s="75">
        <v>42548</v>
      </c>
      <c r="E413" s="21" t="s">
        <v>1123</v>
      </c>
      <c r="G413" s="87" t="s">
        <v>1123</v>
      </c>
      <c r="H413" s="20"/>
    </row>
    <row r="414" spans="1:8" ht="17.100000000000001" customHeight="1" thickBot="1" x14ac:dyDescent="0.25">
      <c r="A414" s="20" t="s">
        <v>146</v>
      </c>
      <c r="B414" s="20" t="s">
        <v>153</v>
      </c>
      <c r="C414" s="21" t="s">
        <v>411</v>
      </c>
      <c r="D414" s="75">
        <v>42548</v>
      </c>
      <c r="E414" s="21" t="s">
        <v>1123</v>
      </c>
      <c r="G414" s="87" t="s">
        <v>1123</v>
      </c>
      <c r="H414" s="20"/>
    </row>
    <row r="415" spans="1:8" ht="17.100000000000001" customHeight="1" thickBot="1" x14ac:dyDescent="0.25">
      <c r="A415" s="20" t="s">
        <v>146</v>
      </c>
      <c r="B415" s="20" t="s">
        <v>864</v>
      </c>
      <c r="C415" s="21" t="s">
        <v>863</v>
      </c>
      <c r="D415" s="75">
        <v>42548</v>
      </c>
      <c r="E415" s="21" t="s">
        <v>1123</v>
      </c>
      <c r="G415" s="87" t="s">
        <v>1123</v>
      </c>
      <c r="H415" s="20"/>
    </row>
    <row r="416" spans="1:8" ht="17.100000000000001" customHeight="1" thickBot="1" x14ac:dyDescent="0.25">
      <c r="A416" s="6" t="s">
        <v>109</v>
      </c>
      <c r="B416" s="6" t="s">
        <v>7</v>
      </c>
      <c r="C416" s="7" t="s">
        <v>1076</v>
      </c>
      <c r="D416" s="76">
        <v>42551</v>
      </c>
      <c r="E416" s="7" t="s">
        <v>1123</v>
      </c>
      <c r="G416" s="86" t="s">
        <v>1159</v>
      </c>
      <c r="H416" s="6"/>
    </row>
    <row r="417" spans="1:8" s="2" customFormat="1" ht="17.100000000000001" customHeight="1" thickBot="1" x14ac:dyDescent="0.25">
      <c r="A417" s="6" t="s">
        <v>109</v>
      </c>
      <c r="B417" s="6" t="s">
        <v>7</v>
      </c>
      <c r="C417" s="7" t="s">
        <v>1077</v>
      </c>
      <c r="D417" s="76">
        <v>42551</v>
      </c>
      <c r="E417" s="7" t="s">
        <v>1123</v>
      </c>
      <c r="F417" s="1"/>
      <c r="G417" s="86" t="s">
        <v>1123</v>
      </c>
      <c r="H417" s="6"/>
    </row>
    <row r="418" spans="1:8" s="2" customFormat="1" ht="17.100000000000001" customHeight="1" thickBot="1" x14ac:dyDescent="0.25">
      <c r="A418" s="6" t="s">
        <v>109</v>
      </c>
      <c r="B418" s="6" t="s">
        <v>7</v>
      </c>
      <c r="C418" s="7" t="s">
        <v>1078</v>
      </c>
      <c r="D418" s="76">
        <v>42551</v>
      </c>
      <c r="E418" s="7" t="s">
        <v>1122</v>
      </c>
      <c r="F418" s="1"/>
      <c r="G418" s="86" t="s">
        <v>1123</v>
      </c>
      <c r="H418" s="6"/>
    </row>
    <row r="419" spans="1:8" ht="17.100000000000001" customHeight="1" thickBot="1" x14ac:dyDescent="0.25">
      <c r="A419" s="6" t="s">
        <v>109</v>
      </c>
      <c r="B419" s="6" t="s">
        <v>7</v>
      </c>
      <c r="C419" s="7" t="s">
        <v>1079</v>
      </c>
      <c r="D419" s="76">
        <v>42551</v>
      </c>
      <c r="E419" s="7" t="s">
        <v>1123</v>
      </c>
      <c r="G419" s="86" t="s">
        <v>1123</v>
      </c>
      <c r="H419" s="6"/>
    </row>
    <row r="420" spans="1:8" s="2" customFormat="1" ht="17.100000000000001" customHeight="1" thickBot="1" x14ac:dyDescent="0.25">
      <c r="A420" s="6" t="s">
        <v>109</v>
      </c>
      <c r="B420" s="6" t="s">
        <v>7</v>
      </c>
      <c r="C420" s="7" t="s">
        <v>1080</v>
      </c>
      <c r="D420" s="76">
        <v>42551</v>
      </c>
      <c r="E420" s="7" t="s">
        <v>1123</v>
      </c>
      <c r="F420" s="1"/>
      <c r="G420" s="86" t="s">
        <v>1123</v>
      </c>
      <c r="H420" s="6"/>
    </row>
    <row r="421" spans="1:8" s="2" customFormat="1" ht="17.100000000000001" customHeight="1" thickBot="1" x14ac:dyDescent="0.25">
      <c r="A421" s="6" t="s">
        <v>109</v>
      </c>
      <c r="B421" s="6" t="s">
        <v>7</v>
      </c>
      <c r="C421" s="7" t="s">
        <v>1081</v>
      </c>
      <c r="D421" s="76">
        <v>42551</v>
      </c>
      <c r="E421" s="7" t="s">
        <v>1123</v>
      </c>
      <c r="F421" s="1"/>
      <c r="G421" s="86" t="s">
        <v>1123</v>
      </c>
      <c r="H421" s="6"/>
    </row>
    <row r="422" spans="1:8" ht="17.100000000000001" customHeight="1" thickBot="1" x14ac:dyDescent="0.25">
      <c r="A422" s="6" t="s">
        <v>109</v>
      </c>
      <c r="B422" s="6" t="s">
        <v>110</v>
      </c>
      <c r="C422" s="7" t="s">
        <v>336</v>
      </c>
      <c r="D422" s="76">
        <v>42551</v>
      </c>
      <c r="E422" s="7" t="s">
        <v>1123</v>
      </c>
      <c r="G422" s="86" t="s">
        <v>1123</v>
      </c>
      <c r="H422" s="6"/>
    </row>
    <row r="423" spans="1:8" ht="17.100000000000001" customHeight="1" thickBot="1" x14ac:dyDescent="0.25">
      <c r="A423" s="6" t="s">
        <v>109</v>
      </c>
      <c r="B423" s="6" t="s">
        <v>111</v>
      </c>
      <c r="C423" s="7" t="s">
        <v>338</v>
      </c>
      <c r="D423" s="76">
        <v>42545</v>
      </c>
      <c r="E423" s="7" t="s">
        <v>1121</v>
      </c>
      <c r="G423" s="86" t="s">
        <v>1123</v>
      </c>
      <c r="H423" s="6"/>
    </row>
    <row r="424" spans="1:8" ht="17.100000000000001" customHeight="1" thickBot="1" x14ac:dyDescent="0.25">
      <c r="A424" s="6" t="s">
        <v>109</v>
      </c>
      <c r="B424" s="6" t="s">
        <v>111</v>
      </c>
      <c r="C424" s="7" t="s">
        <v>1082</v>
      </c>
      <c r="D424" s="76">
        <v>42545</v>
      </c>
      <c r="E424" s="7" t="s">
        <v>1123</v>
      </c>
      <c r="G424" s="86" t="s">
        <v>1121</v>
      </c>
      <c r="H424" s="6"/>
    </row>
    <row r="425" spans="1:8" s="31" customFormat="1" ht="17.100000000000001" customHeight="1" thickBot="1" x14ac:dyDescent="0.25">
      <c r="A425" s="6" t="s">
        <v>109</v>
      </c>
      <c r="B425" s="6" t="s">
        <v>867</v>
      </c>
      <c r="C425" s="7" t="s">
        <v>1083</v>
      </c>
      <c r="D425" s="76">
        <v>42551</v>
      </c>
      <c r="E425" s="7" t="s">
        <v>1123</v>
      </c>
      <c r="F425" s="1"/>
      <c r="G425" s="86" t="s">
        <v>1123</v>
      </c>
      <c r="H425" s="6"/>
    </row>
    <row r="426" spans="1:8" ht="17.100000000000001" customHeight="1" thickBot="1" x14ac:dyDescent="0.25">
      <c r="A426" s="5" t="s">
        <v>158</v>
      </c>
      <c r="B426" s="5" t="s">
        <v>7</v>
      </c>
      <c r="C426" s="11" t="s">
        <v>412</v>
      </c>
      <c r="D426" s="75">
        <v>42545</v>
      </c>
      <c r="E426" s="11" t="s">
        <v>1123</v>
      </c>
      <c r="G426" s="82" t="s">
        <v>1139</v>
      </c>
      <c r="H426" s="5"/>
    </row>
    <row r="427" spans="1:8" ht="17.100000000000001" customHeight="1" thickBot="1" x14ac:dyDescent="0.25">
      <c r="A427" s="5" t="s">
        <v>158</v>
      </c>
      <c r="B427" s="5" t="s">
        <v>7</v>
      </c>
      <c r="C427" s="11" t="s">
        <v>526</v>
      </c>
      <c r="D427" s="75">
        <v>42545</v>
      </c>
      <c r="E427" s="11" t="s">
        <v>1123</v>
      </c>
      <c r="G427" s="82" t="s">
        <v>1123</v>
      </c>
      <c r="H427" s="5"/>
    </row>
    <row r="428" spans="1:8" ht="17.100000000000001" customHeight="1" thickBot="1" x14ac:dyDescent="0.25">
      <c r="A428" s="5" t="s">
        <v>158</v>
      </c>
      <c r="B428" s="5" t="s">
        <v>7</v>
      </c>
      <c r="C428" s="11" t="s">
        <v>592</v>
      </c>
      <c r="D428" s="75">
        <v>42545</v>
      </c>
      <c r="E428" s="11" t="s">
        <v>1123</v>
      </c>
      <c r="G428" s="82" t="s">
        <v>1123</v>
      </c>
      <c r="H428" s="5"/>
    </row>
    <row r="429" spans="1:8" s="2" customFormat="1" ht="17.100000000000001" customHeight="1" thickBot="1" x14ac:dyDescent="0.25">
      <c r="A429" s="5" t="s">
        <v>158</v>
      </c>
      <c r="B429" s="5" t="s">
        <v>7</v>
      </c>
      <c r="C429" s="11" t="s">
        <v>512</v>
      </c>
      <c r="D429" s="75">
        <v>42545</v>
      </c>
      <c r="E429" s="11" t="s">
        <v>1123</v>
      </c>
      <c r="F429" s="1"/>
      <c r="G429" s="82" t="s">
        <v>1123</v>
      </c>
      <c r="H429" s="5"/>
    </row>
    <row r="430" spans="1:8" s="25" customFormat="1" ht="17.100000000000001" customHeight="1" thickBot="1" x14ac:dyDescent="0.25">
      <c r="A430" s="5" t="s">
        <v>158</v>
      </c>
      <c r="B430" s="5" t="s">
        <v>7</v>
      </c>
      <c r="C430" s="11" t="s">
        <v>413</v>
      </c>
      <c r="D430" s="75">
        <v>42545</v>
      </c>
      <c r="E430" s="11" t="s">
        <v>1123</v>
      </c>
      <c r="F430" s="1"/>
      <c r="G430" s="82" t="s">
        <v>1123</v>
      </c>
      <c r="H430" s="5"/>
    </row>
    <row r="431" spans="1:8" s="2" customFormat="1" ht="17.100000000000001" customHeight="1" thickBot="1" x14ac:dyDescent="0.25">
      <c r="A431" s="5" t="s">
        <v>158</v>
      </c>
      <c r="B431" s="5" t="s">
        <v>7</v>
      </c>
      <c r="C431" s="11" t="s">
        <v>902</v>
      </c>
      <c r="D431" s="75">
        <v>42545</v>
      </c>
      <c r="E431" s="11" t="s">
        <v>1122</v>
      </c>
      <c r="F431" s="1"/>
      <c r="G431" s="82" t="s">
        <v>1123</v>
      </c>
      <c r="H431" s="5"/>
    </row>
    <row r="432" spans="1:8" s="2" customFormat="1" ht="17.100000000000001" customHeight="1" thickBot="1" x14ac:dyDescent="0.25">
      <c r="A432" s="5" t="s">
        <v>158</v>
      </c>
      <c r="B432" s="5" t="s">
        <v>159</v>
      </c>
      <c r="C432" s="11" t="s">
        <v>415</v>
      </c>
      <c r="D432" s="75">
        <v>42545</v>
      </c>
      <c r="E432" s="11" t="s">
        <v>1122</v>
      </c>
      <c r="F432" s="1"/>
      <c r="G432" s="82" t="s">
        <v>1122</v>
      </c>
      <c r="H432" s="5"/>
    </row>
    <row r="433" spans="1:8" ht="17.100000000000001" customHeight="1" thickBot="1" x14ac:dyDescent="0.25">
      <c r="A433" s="5" t="s">
        <v>158</v>
      </c>
      <c r="B433" s="5" t="s">
        <v>527</v>
      </c>
      <c r="C433" s="11" t="s">
        <v>528</v>
      </c>
      <c r="D433" s="75">
        <v>42545</v>
      </c>
      <c r="E433" s="11" t="s">
        <v>1123</v>
      </c>
      <c r="G433" s="82" t="s">
        <v>1123</v>
      </c>
      <c r="H433" s="5"/>
    </row>
    <row r="434" spans="1:8" s="2" customFormat="1" ht="17.100000000000001" customHeight="1" thickBot="1" x14ac:dyDescent="0.25">
      <c r="A434" s="6" t="s">
        <v>122</v>
      </c>
      <c r="B434" s="6" t="s">
        <v>7</v>
      </c>
      <c r="C434" s="7" t="s">
        <v>522</v>
      </c>
      <c r="D434" s="76">
        <v>42552</v>
      </c>
      <c r="E434" s="7" t="s">
        <v>1123</v>
      </c>
      <c r="F434" s="1"/>
      <c r="G434" s="86" t="s">
        <v>1123</v>
      </c>
      <c r="H434" s="6"/>
    </row>
    <row r="435" spans="1:8" ht="17.100000000000001" customHeight="1" thickBot="1" x14ac:dyDescent="0.25">
      <c r="A435" s="6" t="s">
        <v>122</v>
      </c>
      <c r="B435" s="6" t="s">
        <v>7</v>
      </c>
      <c r="C435" s="7" t="s">
        <v>374</v>
      </c>
      <c r="D435" s="76">
        <v>42546</v>
      </c>
      <c r="E435" s="7" t="s">
        <v>1123</v>
      </c>
      <c r="G435" s="86" t="s">
        <v>1123</v>
      </c>
      <c r="H435" s="6"/>
    </row>
    <row r="436" spans="1:8" ht="17.100000000000001" customHeight="1" thickBot="1" x14ac:dyDescent="0.25">
      <c r="A436" s="6" t="s">
        <v>122</v>
      </c>
      <c r="B436" s="6" t="s">
        <v>7</v>
      </c>
      <c r="C436" s="7" t="s">
        <v>593</v>
      </c>
      <c r="D436" s="76">
        <v>42546</v>
      </c>
      <c r="E436" s="7" t="s">
        <v>1122</v>
      </c>
      <c r="G436" s="86" t="s">
        <v>1123</v>
      </c>
      <c r="H436" s="6"/>
    </row>
    <row r="437" spans="1:8" s="2" customFormat="1" ht="17.100000000000001" customHeight="1" thickBot="1" x14ac:dyDescent="0.25">
      <c r="A437" s="6" t="s">
        <v>122</v>
      </c>
      <c r="B437" s="6" t="s">
        <v>7</v>
      </c>
      <c r="C437" s="7" t="s">
        <v>594</v>
      </c>
      <c r="D437" s="76">
        <v>42551</v>
      </c>
      <c r="E437" s="7" t="s">
        <v>1123</v>
      </c>
      <c r="F437" s="1"/>
      <c r="G437" s="86" t="s">
        <v>1122</v>
      </c>
      <c r="H437" s="6"/>
    </row>
    <row r="438" spans="1:8" s="2" customFormat="1" ht="17.100000000000001" customHeight="1" thickBot="1" x14ac:dyDescent="0.25">
      <c r="A438" s="6" t="s">
        <v>122</v>
      </c>
      <c r="B438" s="6" t="s">
        <v>7</v>
      </c>
      <c r="C438" s="7" t="s">
        <v>375</v>
      </c>
      <c r="D438" s="76">
        <v>42545</v>
      </c>
      <c r="E438" s="7" t="s">
        <v>1123</v>
      </c>
      <c r="F438" s="1"/>
      <c r="G438" s="86" t="s">
        <v>1123</v>
      </c>
      <c r="H438" s="6"/>
    </row>
    <row r="439" spans="1:8" ht="17.100000000000001" customHeight="1" thickBot="1" x14ac:dyDescent="0.25">
      <c r="A439" s="6" t="s">
        <v>122</v>
      </c>
      <c r="B439" s="6" t="s">
        <v>123</v>
      </c>
      <c r="C439" s="7" t="s">
        <v>367</v>
      </c>
      <c r="D439" s="76">
        <v>42551</v>
      </c>
      <c r="E439" s="7" t="s">
        <v>1123</v>
      </c>
      <c r="G439" s="86" t="s">
        <v>1123</v>
      </c>
      <c r="H439" s="6"/>
    </row>
    <row r="440" spans="1:8" ht="17.100000000000001" customHeight="1" thickBot="1" x14ac:dyDescent="0.25">
      <c r="A440" s="6" t="s">
        <v>122</v>
      </c>
      <c r="B440" s="6" t="s">
        <v>124</v>
      </c>
      <c r="C440" s="7" t="s">
        <v>368</v>
      </c>
      <c r="D440" s="76">
        <v>42548</v>
      </c>
      <c r="E440" s="7" t="s">
        <v>1123</v>
      </c>
      <c r="G440" s="86" t="s">
        <v>1123</v>
      </c>
      <c r="H440" s="6"/>
    </row>
    <row r="441" spans="1:8" ht="17.100000000000001" customHeight="1" thickBot="1" x14ac:dyDescent="0.25">
      <c r="A441" s="6" t="s">
        <v>122</v>
      </c>
      <c r="B441" s="6" t="s">
        <v>125</v>
      </c>
      <c r="C441" s="7" t="s">
        <v>370</v>
      </c>
      <c r="D441" s="76">
        <v>42549</v>
      </c>
      <c r="E441" s="7" t="s">
        <v>1123</v>
      </c>
      <c r="G441" s="86" t="s">
        <v>1123</v>
      </c>
      <c r="H441" s="6"/>
    </row>
    <row r="442" spans="1:8" ht="17.100000000000001" customHeight="1" thickBot="1" x14ac:dyDescent="0.25">
      <c r="A442" s="6" t="s">
        <v>122</v>
      </c>
      <c r="B442" s="6" t="s">
        <v>126</v>
      </c>
      <c r="C442" s="7" t="s">
        <v>371</v>
      </c>
      <c r="D442" s="76">
        <v>42545</v>
      </c>
      <c r="E442" s="7" t="s">
        <v>1123</v>
      </c>
      <c r="G442" s="86" t="s">
        <v>1123</v>
      </c>
      <c r="H442" s="6"/>
    </row>
    <row r="443" spans="1:8" ht="17.100000000000001" customHeight="1" thickBot="1" x14ac:dyDescent="0.25">
      <c r="A443" s="6" t="s">
        <v>122</v>
      </c>
      <c r="B443" s="6" t="s">
        <v>127</v>
      </c>
      <c r="C443" s="7" t="s">
        <v>372</v>
      </c>
      <c r="D443" s="76">
        <v>42552</v>
      </c>
      <c r="E443" s="7" t="s">
        <v>1123</v>
      </c>
      <c r="G443" s="86" t="s">
        <v>1123</v>
      </c>
      <c r="H443" s="6"/>
    </row>
    <row r="444" spans="1:8" ht="17.100000000000001" customHeight="1" thickBot="1" x14ac:dyDescent="0.25">
      <c r="A444" s="6" t="s">
        <v>122</v>
      </c>
      <c r="B444" s="6" t="s">
        <v>128</v>
      </c>
      <c r="C444" s="7" t="s">
        <v>373</v>
      </c>
      <c r="D444" s="76">
        <v>42545</v>
      </c>
      <c r="E444" s="7" t="s">
        <v>1123</v>
      </c>
      <c r="G444" s="86" t="s">
        <v>1123</v>
      </c>
      <c r="H444" s="6"/>
    </row>
    <row r="445" spans="1:8" ht="17.100000000000001" customHeight="1" thickBot="1" x14ac:dyDescent="0.25">
      <c r="A445" s="6" t="s">
        <v>122</v>
      </c>
      <c r="B445" s="6" t="s">
        <v>129</v>
      </c>
      <c r="C445" s="7" t="s">
        <v>376</v>
      </c>
      <c r="D445" s="76">
        <v>42545</v>
      </c>
      <c r="E445" s="7" t="s">
        <v>1123</v>
      </c>
      <c r="G445" s="86" t="s">
        <v>1123</v>
      </c>
      <c r="H445" s="6"/>
    </row>
    <row r="446" spans="1:8" ht="17.100000000000001" customHeight="1" thickBot="1" x14ac:dyDescent="0.25">
      <c r="A446" s="6" t="s">
        <v>122</v>
      </c>
      <c r="B446" s="6" t="s">
        <v>129</v>
      </c>
      <c r="C446" s="7" t="s">
        <v>595</v>
      </c>
      <c r="D446" s="76">
        <v>42545</v>
      </c>
      <c r="E446" s="7" t="s">
        <v>1123</v>
      </c>
      <c r="G446" s="86" t="s">
        <v>1123</v>
      </c>
      <c r="H446" s="6"/>
    </row>
    <row r="447" spans="1:8" s="2" customFormat="1" ht="17.100000000000001" customHeight="1" thickBot="1" x14ac:dyDescent="0.25">
      <c r="A447" s="6" t="s">
        <v>122</v>
      </c>
      <c r="B447" s="6" t="s">
        <v>130</v>
      </c>
      <c r="C447" s="7" t="s">
        <v>941</v>
      </c>
      <c r="D447" s="76">
        <v>42551</v>
      </c>
      <c r="E447" s="7" t="s">
        <v>1123</v>
      </c>
      <c r="F447" s="1"/>
      <c r="G447" s="86" t="s">
        <v>1123</v>
      </c>
      <c r="H447" s="6"/>
    </row>
    <row r="448" spans="1:8" s="2" customFormat="1" ht="17.100000000000001" customHeight="1" thickBot="1" x14ac:dyDescent="0.25">
      <c r="A448" s="6" t="s">
        <v>122</v>
      </c>
      <c r="B448" s="6" t="s">
        <v>130</v>
      </c>
      <c r="C448" s="7" t="s">
        <v>377</v>
      </c>
      <c r="D448" s="76">
        <v>42552</v>
      </c>
      <c r="E448" s="7" t="s">
        <v>1123</v>
      </c>
      <c r="F448" s="1"/>
      <c r="G448" s="86" t="s">
        <v>1123</v>
      </c>
      <c r="H448" s="6"/>
    </row>
    <row r="449" spans="1:8" ht="17.100000000000001" customHeight="1" thickBot="1" x14ac:dyDescent="0.25">
      <c r="A449" s="5" t="s">
        <v>74</v>
      </c>
      <c r="B449" s="5" t="s">
        <v>7</v>
      </c>
      <c r="C449" s="11" t="s">
        <v>1024</v>
      </c>
      <c r="D449" s="75">
        <v>42552</v>
      </c>
      <c r="E449" s="11" t="s">
        <v>1122</v>
      </c>
      <c r="G449" s="82" t="s">
        <v>1123</v>
      </c>
      <c r="H449" s="5"/>
    </row>
    <row r="450" spans="1:8" ht="17.100000000000001" customHeight="1" thickBot="1" x14ac:dyDescent="0.25">
      <c r="A450" s="5" t="s">
        <v>74</v>
      </c>
      <c r="B450" s="5" t="s">
        <v>7</v>
      </c>
      <c r="C450" s="11" t="s">
        <v>1025</v>
      </c>
      <c r="D450" s="75">
        <v>42552</v>
      </c>
      <c r="E450" s="11" t="s">
        <v>1123</v>
      </c>
      <c r="G450" s="82" t="s">
        <v>1122</v>
      </c>
      <c r="H450" s="5"/>
    </row>
    <row r="451" spans="1:8" s="32" customFormat="1" ht="17.100000000000001" customHeight="1" thickBot="1" x14ac:dyDescent="0.25">
      <c r="A451" s="5" t="s">
        <v>74</v>
      </c>
      <c r="B451" s="5" t="s">
        <v>922</v>
      </c>
      <c r="C451" s="11" t="s">
        <v>923</v>
      </c>
      <c r="D451" s="75">
        <v>42552</v>
      </c>
      <c r="E451" s="11" t="s">
        <v>1123</v>
      </c>
      <c r="F451" s="1"/>
      <c r="G451" s="82" t="s">
        <v>1123</v>
      </c>
      <c r="H451" s="5"/>
    </row>
    <row r="452" spans="1:8" ht="17.100000000000001" customHeight="1" thickBot="1" x14ac:dyDescent="0.25">
      <c r="A452" s="6" t="s">
        <v>11</v>
      </c>
      <c r="B452" s="6" t="s">
        <v>7</v>
      </c>
      <c r="C452" s="7" t="s">
        <v>230</v>
      </c>
      <c r="D452" s="76">
        <v>42552</v>
      </c>
      <c r="E452" s="7" t="s">
        <v>1123</v>
      </c>
      <c r="G452" s="86" t="s">
        <v>1123</v>
      </c>
      <c r="H452" s="6"/>
    </row>
    <row r="453" spans="1:8" s="2" customFormat="1" ht="17.100000000000001" customHeight="1" thickBot="1" x14ac:dyDescent="0.25">
      <c r="A453" s="6" t="s">
        <v>11</v>
      </c>
      <c r="B453" s="6" t="s">
        <v>7</v>
      </c>
      <c r="C453" s="7" t="s">
        <v>232</v>
      </c>
      <c r="D453" s="76">
        <v>42552</v>
      </c>
      <c r="E453" s="7" t="s">
        <v>1142</v>
      </c>
      <c r="F453" s="1"/>
      <c r="G453" s="86" t="s">
        <v>1123</v>
      </c>
      <c r="H453" s="6"/>
    </row>
    <row r="454" spans="1:8" s="2" customFormat="1" ht="17.100000000000001" customHeight="1" thickBot="1" x14ac:dyDescent="0.25">
      <c r="A454" s="6" t="s">
        <v>11</v>
      </c>
      <c r="B454" s="6" t="s">
        <v>7</v>
      </c>
      <c r="C454" s="7" t="s">
        <v>954</v>
      </c>
      <c r="D454" s="76">
        <v>42552</v>
      </c>
      <c r="E454" s="7" t="s">
        <v>1123</v>
      </c>
      <c r="F454" s="1"/>
      <c r="G454" s="86" t="s">
        <v>1123</v>
      </c>
      <c r="H454" s="6"/>
    </row>
    <row r="455" spans="1:8" s="2" customFormat="1" ht="17.100000000000001" customHeight="1" thickBot="1" x14ac:dyDescent="0.25">
      <c r="A455" s="6" t="s">
        <v>11</v>
      </c>
      <c r="B455" s="6" t="s">
        <v>7</v>
      </c>
      <c r="C455" s="7" t="s">
        <v>955</v>
      </c>
      <c r="D455" s="76">
        <v>42552</v>
      </c>
      <c r="E455" s="7" t="s">
        <v>1123</v>
      </c>
      <c r="F455" s="1"/>
      <c r="G455" s="86" t="s">
        <v>1138</v>
      </c>
      <c r="H455" s="6"/>
    </row>
    <row r="456" spans="1:8" ht="17.100000000000001" customHeight="1" thickBot="1" x14ac:dyDescent="0.25">
      <c r="A456" s="6" t="s">
        <v>11</v>
      </c>
      <c r="B456" s="6" t="s">
        <v>554</v>
      </c>
      <c r="C456" s="7" t="s">
        <v>956</v>
      </c>
      <c r="D456" s="76">
        <v>42552</v>
      </c>
      <c r="E456" s="7" t="s">
        <v>1123</v>
      </c>
      <c r="G456" s="86" t="s">
        <v>1123</v>
      </c>
      <c r="H456" s="6"/>
    </row>
    <row r="457" spans="1:8" ht="17.100000000000001" customHeight="1" thickBot="1" x14ac:dyDescent="0.25">
      <c r="A457" s="6" t="s">
        <v>11</v>
      </c>
      <c r="B457" s="6" t="s">
        <v>12</v>
      </c>
      <c r="C457" s="7" t="s">
        <v>228</v>
      </c>
      <c r="D457" s="76">
        <v>42552</v>
      </c>
      <c r="E457" s="7" t="s">
        <v>1123</v>
      </c>
      <c r="G457" s="86" t="s">
        <v>1123</v>
      </c>
      <c r="H457" s="6"/>
    </row>
    <row r="458" spans="1:8" ht="17.100000000000001" customHeight="1" thickBot="1" x14ac:dyDescent="0.25">
      <c r="A458" s="6" t="s">
        <v>11</v>
      </c>
      <c r="B458" s="6" t="s">
        <v>552</v>
      </c>
      <c r="C458" s="7" t="s">
        <v>957</v>
      </c>
      <c r="D458" s="76">
        <v>42552</v>
      </c>
      <c r="E458" s="7" t="s">
        <v>1123</v>
      </c>
      <c r="G458" s="86" t="s">
        <v>1123</v>
      </c>
      <c r="H458" s="6"/>
    </row>
    <row r="459" spans="1:8" ht="17.100000000000001" customHeight="1" thickBot="1" x14ac:dyDescent="0.25">
      <c r="A459" s="6" t="s">
        <v>11</v>
      </c>
      <c r="B459" s="6" t="s">
        <v>13</v>
      </c>
      <c r="C459" s="7" t="s">
        <v>234</v>
      </c>
      <c r="D459" s="76">
        <v>42552</v>
      </c>
      <c r="E459" s="7" t="s">
        <v>1123</v>
      </c>
      <c r="G459" s="86" t="s">
        <v>1123</v>
      </c>
      <c r="H459" s="6"/>
    </row>
    <row r="460" spans="1:8" ht="51.75" customHeight="1" thickBot="1" x14ac:dyDescent="0.25">
      <c r="A460" s="5" t="s">
        <v>67</v>
      </c>
      <c r="B460" s="5" t="s">
        <v>7</v>
      </c>
      <c r="C460" s="11" t="s">
        <v>293</v>
      </c>
      <c r="D460" s="75">
        <v>42522</v>
      </c>
      <c r="E460" s="11" t="s">
        <v>1123</v>
      </c>
      <c r="G460" s="82" t="s">
        <v>1151</v>
      </c>
      <c r="H460" s="89" t="s">
        <v>1170</v>
      </c>
    </row>
    <row r="461" spans="1:8" ht="35.25" customHeight="1" thickBot="1" x14ac:dyDescent="0.25">
      <c r="A461" s="5" t="s">
        <v>67</v>
      </c>
      <c r="B461" s="5" t="s">
        <v>7</v>
      </c>
      <c r="C461" s="11" t="s">
        <v>294</v>
      </c>
      <c r="D461" s="75">
        <v>42522</v>
      </c>
      <c r="E461" s="11" t="s">
        <v>1127</v>
      </c>
      <c r="G461" s="82" t="s">
        <v>1123</v>
      </c>
      <c r="H461" s="89" t="s">
        <v>1171</v>
      </c>
    </row>
    <row r="462" spans="1:8" ht="17.100000000000001" customHeight="1" thickBot="1" x14ac:dyDescent="0.25">
      <c r="A462" s="5" t="s">
        <v>67</v>
      </c>
      <c r="B462" s="5" t="s">
        <v>7</v>
      </c>
      <c r="C462" s="11" t="s">
        <v>877</v>
      </c>
      <c r="D462" s="75">
        <v>42522</v>
      </c>
      <c r="E462" s="11" t="s">
        <v>1123</v>
      </c>
      <c r="G462" s="82" t="s">
        <v>1123</v>
      </c>
      <c r="H462" s="5"/>
    </row>
    <row r="463" spans="1:8" ht="17.100000000000001" customHeight="1" thickBot="1" x14ac:dyDescent="0.25">
      <c r="A463" s="5" t="s">
        <v>67</v>
      </c>
      <c r="B463" s="5" t="s">
        <v>69</v>
      </c>
      <c r="C463" s="11" t="s">
        <v>496</v>
      </c>
      <c r="D463" s="75">
        <v>42522</v>
      </c>
      <c r="E463" s="11" t="s">
        <v>1152</v>
      </c>
      <c r="G463" s="82" t="s">
        <v>1152</v>
      </c>
      <c r="H463" s="5" t="s">
        <v>1177</v>
      </c>
    </row>
    <row r="464" spans="1:8" ht="17.100000000000001" customHeight="1" thickBot="1" x14ac:dyDescent="0.25">
      <c r="A464" s="5" t="s">
        <v>67</v>
      </c>
      <c r="B464" s="5" t="s">
        <v>68</v>
      </c>
      <c r="C464" s="11" t="s">
        <v>1019</v>
      </c>
      <c r="D464" s="75">
        <v>42522</v>
      </c>
      <c r="E464" s="11" t="s">
        <v>1152</v>
      </c>
      <c r="G464" s="82" t="s">
        <v>1152</v>
      </c>
      <c r="H464" s="5" t="s">
        <v>1177</v>
      </c>
    </row>
    <row r="465" spans="1:8" s="2" customFormat="1" ht="17.100000000000001" customHeight="1" thickBot="1" x14ac:dyDescent="0.25">
      <c r="A465" s="6" t="s">
        <v>209</v>
      </c>
      <c r="B465" s="6" t="s">
        <v>7</v>
      </c>
      <c r="C465" s="7" t="s">
        <v>470</v>
      </c>
      <c r="D465" s="76">
        <v>42551</v>
      </c>
      <c r="E465" s="7" t="s">
        <v>1121</v>
      </c>
      <c r="F465" s="1"/>
      <c r="G465" s="86" t="s">
        <v>1123</v>
      </c>
      <c r="H465" s="6"/>
    </row>
    <row r="466" spans="1:8" s="2" customFormat="1" ht="17.100000000000001" customHeight="1" thickBot="1" x14ac:dyDescent="0.25">
      <c r="A466" s="6" t="s">
        <v>209</v>
      </c>
      <c r="B466" s="6" t="s">
        <v>7</v>
      </c>
      <c r="C466" s="7" t="s">
        <v>596</v>
      </c>
      <c r="D466" s="76">
        <v>42551</v>
      </c>
      <c r="E466" s="7" t="s">
        <v>1123</v>
      </c>
      <c r="F466" s="1"/>
      <c r="G466" s="86" t="s">
        <v>1123</v>
      </c>
      <c r="H466" s="6"/>
    </row>
    <row r="467" spans="1:8" s="2" customFormat="1" ht="17.100000000000001" customHeight="1" thickBot="1" x14ac:dyDescent="0.25">
      <c r="A467" s="6" t="s">
        <v>209</v>
      </c>
      <c r="B467" s="6" t="s">
        <v>7</v>
      </c>
      <c r="C467" s="7" t="s">
        <v>471</v>
      </c>
      <c r="D467" s="76">
        <v>42552</v>
      </c>
      <c r="E467" s="7" t="s">
        <v>1123</v>
      </c>
      <c r="F467" s="1"/>
      <c r="G467" s="86" t="s">
        <v>1121</v>
      </c>
      <c r="H467" s="6"/>
    </row>
    <row r="468" spans="1:8" s="2" customFormat="1" ht="17.100000000000001" customHeight="1" thickBot="1" x14ac:dyDescent="0.25">
      <c r="A468" s="6" t="s">
        <v>209</v>
      </c>
      <c r="B468" s="6" t="s">
        <v>210</v>
      </c>
      <c r="C468" s="7" t="s">
        <v>469</v>
      </c>
      <c r="D468" s="76">
        <v>42542</v>
      </c>
      <c r="E468" s="7" t="s">
        <v>1123</v>
      </c>
      <c r="F468" s="1"/>
      <c r="G468" s="86" t="s">
        <v>1123</v>
      </c>
      <c r="H468" s="6"/>
    </row>
    <row r="469" spans="1:8" ht="17.100000000000001" customHeight="1" thickBot="1" x14ac:dyDescent="0.25">
      <c r="A469" s="5" t="s">
        <v>136</v>
      </c>
      <c r="B469" s="5" t="s">
        <v>7</v>
      </c>
      <c r="C469" s="11" t="s">
        <v>523</v>
      </c>
      <c r="D469" s="75">
        <v>42538</v>
      </c>
      <c r="E469" s="11" t="s">
        <v>1123</v>
      </c>
      <c r="G469" s="82" t="s">
        <v>1125</v>
      </c>
      <c r="H469" s="5"/>
    </row>
    <row r="470" spans="1:8" s="2" customFormat="1" ht="17.100000000000001" customHeight="1" thickBot="1" x14ac:dyDescent="0.25">
      <c r="A470" s="5" t="s">
        <v>136</v>
      </c>
      <c r="B470" s="5" t="s">
        <v>7</v>
      </c>
      <c r="C470" s="11" t="s">
        <v>388</v>
      </c>
      <c r="D470" s="75">
        <v>42538</v>
      </c>
      <c r="E470" s="11" t="s">
        <v>1127</v>
      </c>
      <c r="F470" s="1"/>
      <c r="G470" s="82" t="s">
        <v>1123</v>
      </c>
      <c r="H470" s="5"/>
    </row>
    <row r="471" spans="1:8" ht="17.100000000000001" customHeight="1" thickBot="1" x14ac:dyDescent="0.25">
      <c r="A471" s="5" t="s">
        <v>136</v>
      </c>
      <c r="B471" s="5" t="s">
        <v>7</v>
      </c>
      <c r="C471" s="11" t="s">
        <v>597</v>
      </c>
      <c r="D471" s="75">
        <v>42538</v>
      </c>
      <c r="E471" s="11" t="s">
        <v>1123</v>
      </c>
      <c r="G471" s="82" t="s">
        <v>1123</v>
      </c>
      <c r="H471" s="5"/>
    </row>
    <row r="472" spans="1:8" s="2" customFormat="1" ht="17.100000000000001" customHeight="1" thickBot="1" x14ac:dyDescent="0.25">
      <c r="A472" s="5" t="s">
        <v>136</v>
      </c>
      <c r="B472" s="5" t="s">
        <v>7</v>
      </c>
      <c r="C472" s="11" t="s">
        <v>880</v>
      </c>
      <c r="D472" s="75">
        <v>42538</v>
      </c>
      <c r="E472" s="11" t="s">
        <v>1123</v>
      </c>
      <c r="F472" s="1"/>
      <c r="G472" s="82" t="s">
        <v>1123</v>
      </c>
      <c r="H472" s="5"/>
    </row>
    <row r="473" spans="1:8" ht="17.100000000000001" customHeight="1" thickBot="1" x14ac:dyDescent="0.25">
      <c r="A473" s="5" t="s">
        <v>136</v>
      </c>
      <c r="B473" s="5" t="s">
        <v>137</v>
      </c>
      <c r="C473" s="11" t="s">
        <v>383</v>
      </c>
      <c r="D473" s="75">
        <v>42538</v>
      </c>
      <c r="E473" s="11" t="s">
        <v>1123</v>
      </c>
      <c r="G473" s="82" t="s">
        <v>1123</v>
      </c>
      <c r="H473" s="5"/>
    </row>
    <row r="474" spans="1:8" s="2" customFormat="1" ht="17.100000000000001" customHeight="1" thickBot="1" x14ac:dyDescent="0.25">
      <c r="A474" s="5" t="s">
        <v>136</v>
      </c>
      <c r="B474" s="5" t="s">
        <v>138</v>
      </c>
      <c r="C474" s="11" t="s">
        <v>392</v>
      </c>
      <c r="D474" s="75">
        <v>42538</v>
      </c>
      <c r="E474" s="11" t="s">
        <v>1121</v>
      </c>
      <c r="F474" s="1"/>
      <c r="G474" s="82" t="s">
        <v>1123</v>
      </c>
      <c r="H474" s="5"/>
    </row>
    <row r="475" spans="1:8" s="2" customFormat="1" ht="17.100000000000001" customHeight="1" thickBot="1" x14ac:dyDescent="0.25">
      <c r="A475" s="6" t="s">
        <v>14</v>
      </c>
      <c r="B475" s="6" t="s">
        <v>7</v>
      </c>
      <c r="C475" s="7" t="s">
        <v>495</v>
      </c>
      <c r="D475" s="76">
        <v>42552</v>
      </c>
      <c r="E475" s="7" t="s">
        <v>1123</v>
      </c>
      <c r="F475" s="1"/>
      <c r="G475" s="86" t="s">
        <v>1124</v>
      </c>
      <c r="H475" s="6"/>
    </row>
    <row r="476" spans="1:8" s="2" customFormat="1" ht="17.100000000000001" customHeight="1" thickBot="1" x14ac:dyDescent="0.25">
      <c r="A476" s="6" t="s">
        <v>14</v>
      </c>
      <c r="B476" s="6" t="s">
        <v>7</v>
      </c>
      <c r="C476" s="7" t="s">
        <v>958</v>
      </c>
      <c r="D476" s="76">
        <v>42552</v>
      </c>
      <c r="E476" s="7" t="s">
        <v>1123</v>
      </c>
      <c r="F476" s="1"/>
      <c r="G476" s="86" t="s">
        <v>1123</v>
      </c>
      <c r="H476" s="6"/>
    </row>
    <row r="477" spans="1:8" s="2" customFormat="1" ht="17.100000000000001" customHeight="1" thickBot="1" x14ac:dyDescent="0.25">
      <c r="A477" s="6" t="s">
        <v>14</v>
      </c>
      <c r="B477" s="6" t="s">
        <v>7</v>
      </c>
      <c r="C477" s="7" t="s">
        <v>233</v>
      </c>
      <c r="D477" s="76">
        <v>42552</v>
      </c>
      <c r="E477" s="7" t="s">
        <v>1123</v>
      </c>
      <c r="F477" s="1"/>
      <c r="G477" s="86" t="s">
        <v>1123</v>
      </c>
      <c r="H477" s="6"/>
    </row>
    <row r="478" spans="1:8" s="23" customFormat="1" ht="17.100000000000001" customHeight="1" thickBot="1" x14ac:dyDescent="0.25">
      <c r="A478" s="6" t="s">
        <v>14</v>
      </c>
      <c r="B478" s="6" t="s">
        <v>7</v>
      </c>
      <c r="C478" s="7" t="s">
        <v>959</v>
      </c>
      <c r="D478" s="76">
        <v>42552</v>
      </c>
      <c r="E478" s="7" t="s">
        <v>1123</v>
      </c>
      <c r="F478" s="1"/>
      <c r="G478" s="86" t="s">
        <v>1123</v>
      </c>
      <c r="H478" s="6"/>
    </row>
    <row r="479" spans="1:8" s="2" customFormat="1" ht="17.100000000000001" customHeight="1" thickBot="1" x14ac:dyDescent="0.25">
      <c r="A479" s="6" t="s">
        <v>14</v>
      </c>
      <c r="B479" s="6" t="s">
        <v>7</v>
      </c>
      <c r="C479" s="7" t="s">
        <v>960</v>
      </c>
      <c r="D479" s="76">
        <v>42552</v>
      </c>
      <c r="E479" s="7" t="s">
        <v>1125</v>
      </c>
      <c r="F479" s="1"/>
      <c r="G479" s="86" t="s">
        <v>1123</v>
      </c>
      <c r="H479" s="6"/>
    </row>
    <row r="480" spans="1:8" ht="17.100000000000001" customHeight="1" thickBot="1" x14ac:dyDescent="0.25">
      <c r="A480" s="6" t="s">
        <v>14</v>
      </c>
      <c r="B480" s="6" t="s">
        <v>15</v>
      </c>
      <c r="C480" s="7" t="s">
        <v>226</v>
      </c>
      <c r="D480" s="76">
        <v>42552</v>
      </c>
      <c r="E480" s="7" t="s">
        <v>1123</v>
      </c>
      <c r="G480" s="86" t="s">
        <v>1123</v>
      </c>
      <c r="H480" s="6"/>
    </row>
    <row r="481" spans="1:8" ht="17.100000000000001" customHeight="1" thickBot="1" x14ac:dyDescent="0.25">
      <c r="A481" s="5" t="s">
        <v>191</v>
      </c>
      <c r="B481" s="5" t="s">
        <v>7</v>
      </c>
      <c r="C481" s="11" t="s">
        <v>515</v>
      </c>
      <c r="D481" s="75">
        <v>42545</v>
      </c>
      <c r="E481" s="11" t="s">
        <v>1121</v>
      </c>
      <c r="G481" s="82" t="s">
        <v>1123</v>
      </c>
      <c r="H481" s="5"/>
    </row>
    <row r="482" spans="1:8" ht="17.100000000000001" customHeight="1" thickBot="1" x14ac:dyDescent="0.25">
      <c r="A482" s="5" t="s">
        <v>191</v>
      </c>
      <c r="B482" s="5" t="s">
        <v>7</v>
      </c>
      <c r="C482" s="11" t="s">
        <v>598</v>
      </c>
      <c r="D482" s="75">
        <v>42545</v>
      </c>
      <c r="E482" s="11" t="s">
        <v>1123</v>
      </c>
      <c r="G482" s="82" t="s">
        <v>1123</v>
      </c>
      <c r="H482" s="5"/>
    </row>
    <row r="483" spans="1:8" ht="17.100000000000001" customHeight="1" thickBot="1" x14ac:dyDescent="0.25">
      <c r="A483" s="5" t="s">
        <v>191</v>
      </c>
      <c r="B483" s="5" t="s">
        <v>7</v>
      </c>
      <c r="C483" s="11" t="s">
        <v>599</v>
      </c>
      <c r="D483" s="75">
        <v>42545</v>
      </c>
      <c r="E483" s="11" t="s">
        <v>1123</v>
      </c>
      <c r="G483" s="82" t="s">
        <v>1123</v>
      </c>
      <c r="H483" s="5"/>
    </row>
    <row r="484" spans="1:8" ht="17.100000000000001" customHeight="1" thickBot="1" x14ac:dyDescent="0.25">
      <c r="A484" s="5" t="s">
        <v>191</v>
      </c>
      <c r="B484" s="5" t="s">
        <v>7</v>
      </c>
      <c r="C484" s="11" t="s">
        <v>455</v>
      </c>
      <c r="D484" s="75">
        <v>42545</v>
      </c>
      <c r="E484" s="11" t="s">
        <v>1123</v>
      </c>
      <c r="G484" s="82" t="s">
        <v>1173</v>
      </c>
      <c r="H484" s="5"/>
    </row>
    <row r="485" spans="1:8" ht="17.100000000000001" customHeight="1" thickBot="1" x14ac:dyDescent="0.25">
      <c r="A485" s="5" t="s">
        <v>191</v>
      </c>
      <c r="B485" s="5" t="s">
        <v>7</v>
      </c>
      <c r="C485" s="11" t="s">
        <v>600</v>
      </c>
      <c r="D485" s="75">
        <v>42545</v>
      </c>
      <c r="E485" s="11" t="s">
        <v>1123</v>
      </c>
      <c r="G485" s="82" t="s">
        <v>1123</v>
      </c>
      <c r="H485" s="5"/>
    </row>
    <row r="486" spans="1:8" ht="17.100000000000001" customHeight="1" thickBot="1" x14ac:dyDescent="0.25">
      <c r="A486" s="5" t="s">
        <v>191</v>
      </c>
      <c r="B486" s="5" t="s">
        <v>192</v>
      </c>
      <c r="C486" s="11" t="s">
        <v>222</v>
      </c>
      <c r="D486" s="75">
        <v>42538</v>
      </c>
      <c r="E486" s="11" t="s">
        <v>1123</v>
      </c>
      <c r="G486" s="82" t="s">
        <v>1123</v>
      </c>
      <c r="H486" s="5"/>
    </row>
    <row r="487" spans="1:8" s="2" customFormat="1" ht="17.100000000000001" customHeight="1" thickBot="1" x14ac:dyDescent="0.25">
      <c r="A487" s="5" t="s">
        <v>191</v>
      </c>
      <c r="B487" s="5" t="s">
        <v>193</v>
      </c>
      <c r="C487" s="11" t="s">
        <v>454</v>
      </c>
      <c r="D487" s="75">
        <v>42538</v>
      </c>
      <c r="E487" s="11" t="s">
        <v>1123</v>
      </c>
      <c r="F487" s="1"/>
      <c r="G487" s="82" t="s">
        <v>1123</v>
      </c>
      <c r="H487" s="5"/>
    </row>
    <row r="488" spans="1:8" s="2" customFormat="1" ht="17.100000000000001" customHeight="1" thickBot="1" x14ac:dyDescent="0.25">
      <c r="A488" s="5" t="s">
        <v>191</v>
      </c>
      <c r="B488" s="5" t="s">
        <v>194</v>
      </c>
      <c r="C488" s="11" t="s">
        <v>563</v>
      </c>
      <c r="D488" s="75">
        <v>42538</v>
      </c>
      <c r="E488" s="11" t="s">
        <v>1123</v>
      </c>
      <c r="F488" s="1"/>
      <c r="G488" s="82" t="s">
        <v>1123</v>
      </c>
      <c r="H488" s="5"/>
    </row>
    <row r="489" spans="1:8" s="2" customFormat="1" ht="17.100000000000001" customHeight="1" thickBot="1" x14ac:dyDescent="0.25">
      <c r="A489" s="6" t="s">
        <v>16</v>
      </c>
      <c r="B489" s="6" t="s">
        <v>7</v>
      </c>
      <c r="C489" s="7" t="s">
        <v>1140</v>
      </c>
      <c r="D489" s="76">
        <v>42552</v>
      </c>
      <c r="E489" s="7" t="s">
        <v>1123</v>
      </c>
      <c r="F489" s="1"/>
      <c r="G489" s="86" t="s">
        <v>1123</v>
      </c>
      <c r="H489" s="88" t="s">
        <v>1172</v>
      </c>
    </row>
    <row r="490" spans="1:8" s="2" customFormat="1" ht="17.100000000000001" customHeight="1" thickBot="1" x14ac:dyDescent="0.25">
      <c r="A490" s="6" t="s">
        <v>16</v>
      </c>
      <c r="B490" s="6" t="s">
        <v>7</v>
      </c>
      <c r="C490" s="7" t="s">
        <v>1141</v>
      </c>
      <c r="D490" s="76">
        <v>42545</v>
      </c>
      <c r="E490" s="7" t="s">
        <v>1123</v>
      </c>
      <c r="F490" s="1"/>
      <c r="G490" s="86" t="s">
        <v>1123</v>
      </c>
      <c r="H490" s="88" t="s">
        <v>1172</v>
      </c>
    </row>
    <row r="491" spans="1:8" ht="31.5" customHeight="1" thickBot="1" x14ac:dyDescent="0.25">
      <c r="A491" s="5" t="s">
        <v>195</v>
      </c>
      <c r="B491" s="5" t="s">
        <v>7</v>
      </c>
      <c r="C491" s="11" t="s">
        <v>456</v>
      </c>
      <c r="D491" s="75">
        <v>42551</v>
      </c>
      <c r="E491" s="11" t="s">
        <v>1123</v>
      </c>
      <c r="G491" s="82" t="s">
        <v>1154</v>
      </c>
      <c r="H491" s="89" t="s">
        <v>1156</v>
      </c>
    </row>
    <row r="492" spans="1:8" s="2" customFormat="1" ht="17.100000000000001" customHeight="1" thickBot="1" x14ac:dyDescent="0.25">
      <c r="A492" s="5" t="s">
        <v>195</v>
      </c>
      <c r="B492" s="5" t="s">
        <v>7</v>
      </c>
      <c r="C492" s="11" t="s">
        <v>601</v>
      </c>
      <c r="D492" s="75">
        <v>42545</v>
      </c>
      <c r="E492" s="11" t="s">
        <v>1123</v>
      </c>
      <c r="F492" s="1"/>
      <c r="G492" s="82" t="s">
        <v>1123</v>
      </c>
      <c r="H492" s="5"/>
    </row>
    <row r="493" spans="1:8" s="2" customFormat="1" ht="17.100000000000001" customHeight="1" thickBot="1" x14ac:dyDescent="0.25">
      <c r="A493" s="5" t="s">
        <v>195</v>
      </c>
      <c r="B493" s="5" t="s">
        <v>7</v>
      </c>
      <c r="C493" s="11" t="s">
        <v>457</v>
      </c>
      <c r="D493" s="75">
        <v>42551</v>
      </c>
      <c r="E493" s="11" t="s">
        <v>1123</v>
      </c>
      <c r="F493" s="1"/>
      <c r="G493" s="82" t="s">
        <v>1123</v>
      </c>
      <c r="H493" s="5"/>
    </row>
    <row r="494" spans="1:8" s="2" customFormat="1" ht="17.100000000000001" customHeight="1" thickBot="1" x14ac:dyDescent="0.25">
      <c r="A494" s="5" t="s">
        <v>195</v>
      </c>
      <c r="B494" s="5" t="s">
        <v>7</v>
      </c>
      <c r="C494" s="11" t="s">
        <v>602</v>
      </c>
      <c r="D494" s="75">
        <v>42551</v>
      </c>
      <c r="E494" s="11" t="s">
        <v>1123</v>
      </c>
      <c r="F494" s="1"/>
      <c r="G494" s="82" t="s">
        <v>1123</v>
      </c>
      <c r="H494" s="5"/>
    </row>
    <row r="495" spans="1:8" ht="17.100000000000001" customHeight="1" thickBot="1" x14ac:dyDescent="0.25">
      <c r="A495" s="5" t="s">
        <v>195</v>
      </c>
      <c r="B495" s="5" t="s">
        <v>7</v>
      </c>
      <c r="C495" s="11" t="s">
        <v>603</v>
      </c>
      <c r="D495" s="75">
        <v>42551</v>
      </c>
      <c r="E495" s="11" t="s">
        <v>1121</v>
      </c>
      <c r="G495" s="82" t="s">
        <v>1123</v>
      </c>
      <c r="H495" s="5"/>
    </row>
    <row r="496" spans="1:8" ht="17.100000000000001" customHeight="1" thickBot="1" x14ac:dyDescent="0.25">
      <c r="A496" s="5" t="s">
        <v>195</v>
      </c>
      <c r="B496" s="5" t="s">
        <v>197</v>
      </c>
      <c r="C496" s="11" t="s">
        <v>445</v>
      </c>
      <c r="D496" s="75">
        <v>42551</v>
      </c>
      <c r="E496" s="11" t="s">
        <v>1123</v>
      </c>
      <c r="G496" s="82" t="s">
        <v>1123</v>
      </c>
      <c r="H496" s="5"/>
    </row>
    <row r="497" spans="1:8" ht="17.100000000000001" customHeight="1" thickBot="1" x14ac:dyDescent="0.25">
      <c r="A497" s="5" t="s">
        <v>195</v>
      </c>
      <c r="B497" s="5" t="s">
        <v>196</v>
      </c>
      <c r="C497" s="11" t="s">
        <v>447</v>
      </c>
      <c r="D497" s="75">
        <v>42545</v>
      </c>
      <c r="E497" s="11" t="s">
        <v>1123</v>
      </c>
      <c r="G497" s="82" t="s">
        <v>1123</v>
      </c>
      <c r="H497" s="5"/>
    </row>
    <row r="498" spans="1:8" ht="17.100000000000001" customHeight="1" thickBot="1" x14ac:dyDescent="0.25">
      <c r="A498" s="5" t="s">
        <v>195</v>
      </c>
      <c r="B498" s="5" t="s">
        <v>198</v>
      </c>
      <c r="C498" s="11" t="s">
        <v>449</v>
      </c>
      <c r="D498" s="75">
        <v>42551</v>
      </c>
      <c r="E498" s="11" t="s">
        <v>1123</v>
      </c>
      <c r="G498" s="82" t="s">
        <v>1123</v>
      </c>
      <c r="H498" s="5"/>
    </row>
    <row r="499" spans="1:8" ht="17.100000000000001" customHeight="1" thickBot="1" x14ac:dyDescent="0.25">
      <c r="A499" s="5" t="s">
        <v>195</v>
      </c>
      <c r="B499" s="5" t="s">
        <v>199</v>
      </c>
      <c r="C499" s="11" t="s">
        <v>221</v>
      </c>
      <c r="D499" s="75">
        <v>42549</v>
      </c>
      <c r="E499" s="11" t="s">
        <v>1123</v>
      </c>
      <c r="G499" s="82" t="s">
        <v>1123</v>
      </c>
      <c r="H499" s="5"/>
    </row>
    <row r="500" spans="1:8" s="2" customFormat="1" ht="17.100000000000001" customHeight="1" thickBot="1" x14ac:dyDescent="0.25">
      <c r="A500" s="6" t="s">
        <v>45</v>
      </c>
      <c r="B500" s="6" t="s">
        <v>7</v>
      </c>
      <c r="C500" s="7" t="s">
        <v>273</v>
      </c>
      <c r="D500" s="76">
        <v>42536</v>
      </c>
      <c r="E500" s="7" t="s">
        <v>1123</v>
      </c>
      <c r="F500" s="1"/>
      <c r="G500" s="86" t="s">
        <v>1123</v>
      </c>
      <c r="H500" s="6"/>
    </row>
    <row r="501" spans="1:8" s="2" customFormat="1" ht="17.100000000000001" customHeight="1" thickBot="1" x14ac:dyDescent="0.25">
      <c r="A501" s="6" t="s">
        <v>45</v>
      </c>
      <c r="B501" s="6" t="s">
        <v>7</v>
      </c>
      <c r="C501" s="7" t="s">
        <v>274</v>
      </c>
      <c r="D501" s="76">
        <v>42536</v>
      </c>
      <c r="E501" s="7" t="s">
        <v>1124</v>
      </c>
      <c r="F501" s="1"/>
      <c r="G501" s="86" t="s">
        <v>1123</v>
      </c>
      <c r="H501" s="6"/>
    </row>
    <row r="502" spans="1:8" s="26" customFormat="1" ht="17.100000000000001" customHeight="1" thickBot="1" x14ac:dyDescent="0.25">
      <c r="A502" s="6" t="s">
        <v>45</v>
      </c>
      <c r="B502" s="6" t="s">
        <v>7</v>
      </c>
      <c r="C502" s="7" t="s">
        <v>908</v>
      </c>
      <c r="D502" s="76">
        <v>42536</v>
      </c>
      <c r="E502" s="7" t="s">
        <v>1123</v>
      </c>
      <c r="F502" s="1"/>
      <c r="G502" s="86" t="s">
        <v>1123</v>
      </c>
      <c r="H502" s="6"/>
    </row>
    <row r="503" spans="1:8" s="2" customFormat="1" ht="17.100000000000001" customHeight="1" thickBot="1" x14ac:dyDescent="0.25">
      <c r="A503" s="6" t="s">
        <v>45</v>
      </c>
      <c r="B503" s="6" t="s">
        <v>7</v>
      </c>
      <c r="C503" s="7" t="s">
        <v>1001</v>
      </c>
      <c r="D503" s="76">
        <v>42536</v>
      </c>
      <c r="E503" s="7" t="s">
        <v>1123</v>
      </c>
      <c r="F503" s="1"/>
      <c r="G503" s="86" t="s">
        <v>1125</v>
      </c>
      <c r="H503" s="6"/>
    </row>
    <row r="504" spans="1:8" s="2" customFormat="1" ht="17.100000000000001" customHeight="1" thickBot="1" x14ac:dyDescent="0.25">
      <c r="A504" s="6" t="s">
        <v>45</v>
      </c>
      <c r="B504" s="6" t="s">
        <v>46</v>
      </c>
      <c r="C504" s="7" t="s">
        <v>270</v>
      </c>
      <c r="D504" s="76">
        <v>42536</v>
      </c>
      <c r="E504" s="7" t="s">
        <v>1123</v>
      </c>
      <c r="F504" s="1"/>
      <c r="G504" s="86" t="s">
        <v>1123</v>
      </c>
      <c r="H504" s="6"/>
    </row>
    <row r="505" spans="1:8" ht="17.100000000000001" customHeight="1" thickBot="1" x14ac:dyDescent="0.25">
      <c r="A505" s="6" t="s">
        <v>45</v>
      </c>
      <c r="B505" s="6" t="s">
        <v>46</v>
      </c>
      <c r="C505" s="7" t="s">
        <v>1002</v>
      </c>
      <c r="D505" s="76">
        <v>42536</v>
      </c>
      <c r="E505" s="7" t="s">
        <v>1123</v>
      </c>
      <c r="G505" s="86" t="s">
        <v>1123</v>
      </c>
      <c r="H505" s="6"/>
    </row>
    <row r="506" spans="1:8" s="2" customFormat="1" ht="17.100000000000001" customHeight="1" thickBot="1" x14ac:dyDescent="0.25">
      <c r="A506" s="5" t="s">
        <v>165</v>
      </c>
      <c r="B506" s="5" t="s">
        <v>7</v>
      </c>
      <c r="C506" s="11" t="s">
        <v>513</v>
      </c>
      <c r="D506" s="75">
        <v>42552</v>
      </c>
      <c r="E506" s="11" t="s">
        <v>1123</v>
      </c>
      <c r="F506" s="1"/>
      <c r="G506" s="82" t="s">
        <v>1123</v>
      </c>
      <c r="H506" s="5"/>
    </row>
    <row r="507" spans="1:8" s="2" customFormat="1" ht="17.100000000000001" customHeight="1" thickBot="1" x14ac:dyDescent="0.25">
      <c r="A507" s="5" t="s">
        <v>165</v>
      </c>
      <c r="B507" s="5" t="s">
        <v>7</v>
      </c>
      <c r="C507" s="11" t="s">
        <v>604</v>
      </c>
      <c r="D507" s="75">
        <v>42552</v>
      </c>
      <c r="E507" s="11" t="s">
        <v>1123</v>
      </c>
      <c r="F507" s="1"/>
      <c r="G507" s="82" t="s">
        <v>1123</v>
      </c>
      <c r="H507" s="5"/>
    </row>
    <row r="508" spans="1:8" s="2" customFormat="1" ht="17.100000000000001" customHeight="1" thickBot="1" x14ac:dyDescent="0.25">
      <c r="A508" s="5" t="s">
        <v>165</v>
      </c>
      <c r="B508" s="5" t="s">
        <v>7</v>
      </c>
      <c r="C508" s="11" t="s">
        <v>220</v>
      </c>
      <c r="D508" s="75">
        <v>42552</v>
      </c>
      <c r="E508" s="11" t="s">
        <v>1122</v>
      </c>
      <c r="F508" s="1"/>
      <c r="G508" s="82" t="s">
        <v>1123</v>
      </c>
      <c r="H508" s="5"/>
    </row>
    <row r="509" spans="1:8" s="2" customFormat="1" ht="17.100000000000001" customHeight="1" thickBot="1" x14ac:dyDescent="0.25">
      <c r="A509" s="5" t="s">
        <v>165</v>
      </c>
      <c r="B509" s="5" t="s">
        <v>7</v>
      </c>
      <c r="C509" s="11" t="s">
        <v>421</v>
      </c>
      <c r="D509" s="75">
        <v>42552</v>
      </c>
      <c r="E509" s="11" t="s">
        <v>1123</v>
      </c>
      <c r="F509" s="1"/>
      <c r="G509" s="82" t="s">
        <v>1122</v>
      </c>
      <c r="H509" s="5"/>
    </row>
    <row r="510" spans="1:8" s="2" customFormat="1" ht="17.100000000000001" customHeight="1" thickBot="1" x14ac:dyDescent="0.25">
      <c r="A510" s="5" t="s">
        <v>165</v>
      </c>
      <c r="B510" s="5" t="s">
        <v>7</v>
      </c>
      <c r="C510" s="11" t="s">
        <v>605</v>
      </c>
      <c r="D510" s="75">
        <v>42552</v>
      </c>
      <c r="E510" s="11" t="s">
        <v>1123</v>
      </c>
      <c r="F510" s="1"/>
      <c r="G510" s="82" t="s">
        <v>1123</v>
      </c>
      <c r="H510" s="5"/>
    </row>
    <row r="511" spans="1:8" s="2" customFormat="1" ht="17.100000000000001" customHeight="1" thickBot="1" x14ac:dyDescent="0.25">
      <c r="A511" s="5" t="s">
        <v>165</v>
      </c>
      <c r="B511" s="5" t="s">
        <v>7</v>
      </c>
      <c r="C511" s="11" t="s">
        <v>422</v>
      </c>
      <c r="D511" s="75">
        <v>42552</v>
      </c>
      <c r="E511" s="11" t="s">
        <v>1123</v>
      </c>
      <c r="F511" s="1"/>
      <c r="G511" s="82" t="s">
        <v>1123</v>
      </c>
      <c r="H511" s="5"/>
    </row>
    <row r="512" spans="1:8" ht="17.100000000000001" customHeight="1" thickBot="1" x14ac:dyDescent="0.25">
      <c r="A512" s="5" t="s">
        <v>165</v>
      </c>
      <c r="B512" s="5" t="s">
        <v>7</v>
      </c>
      <c r="C512" s="11" t="s">
        <v>606</v>
      </c>
      <c r="D512" s="75">
        <v>42552</v>
      </c>
      <c r="E512" s="11" t="s">
        <v>1123</v>
      </c>
      <c r="G512" s="82" t="s">
        <v>1123</v>
      </c>
      <c r="H512" s="5"/>
    </row>
    <row r="513" spans="1:8" ht="17.100000000000001" customHeight="1" thickBot="1" x14ac:dyDescent="0.25">
      <c r="A513" s="5" t="s">
        <v>165</v>
      </c>
      <c r="B513" s="5" t="s">
        <v>7</v>
      </c>
      <c r="C513" s="11" t="s">
        <v>423</v>
      </c>
      <c r="D513" s="75">
        <v>42552</v>
      </c>
      <c r="E513" s="11" t="s">
        <v>1123</v>
      </c>
      <c r="G513" s="82" t="s">
        <v>1123</v>
      </c>
      <c r="H513" s="5"/>
    </row>
    <row r="514" spans="1:8" s="2" customFormat="1" ht="17.100000000000001" customHeight="1" thickBot="1" x14ac:dyDescent="0.25">
      <c r="A514" s="5" t="s">
        <v>165</v>
      </c>
      <c r="B514" s="5" t="s">
        <v>166</v>
      </c>
      <c r="C514" s="11" t="s">
        <v>427</v>
      </c>
      <c r="D514" s="75">
        <v>42552</v>
      </c>
      <c r="E514" s="11" t="s">
        <v>1123</v>
      </c>
      <c r="F514" s="1"/>
      <c r="G514" s="82" t="s">
        <v>1123</v>
      </c>
      <c r="H514" s="5"/>
    </row>
    <row r="515" spans="1:8" s="2" customFormat="1" ht="17.100000000000001" customHeight="1" thickBot="1" x14ac:dyDescent="0.25">
      <c r="A515" s="5" t="s">
        <v>165</v>
      </c>
      <c r="B515" s="5" t="s">
        <v>167</v>
      </c>
      <c r="C515" s="11" t="s">
        <v>428</v>
      </c>
      <c r="D515" s="75">
        <v>42555</v>
      </c>
      <c r="E515" s="11" t="s">
        <v>1123</v>
      </c>
      <c r="F515" s="1"/>
      <c r="G515" s="82" t="s">
        <v>1123</v>
      </c>
      <c r="H515" s="5"/>
    </row>
    <row r="516" spans="1:8" s="2" customFormat="1" ht="17.100000000000001" customHeight="1" thickBot="1" x14ac:dyDescent="0.25">
      <c r="A516" s="5" t="s">
        <v>165</v>
      </c>
      <c r="B516" s="5" t="s">
        <v>541</v>
      </c>
      <c r="C516" s="11" t="s">
        <v>542</v>
      </c>
      <c r="D516" s="75">
        <v>42552</v>
      </c>
      <c r="E516" s="11" t="s">
        <v>1123</v>
      </c>
      <c r="F516" s="1"/>
      <c r="G516" s="82" t="s">
        <v>1123</v>
      </c>
      <c r="H516" s="5"/>
    </row>
    <row r="517" spans="1:8" s="2" customFormat="1" ht="17.100000000000001" customHeight="1" thickBot="1" x14ac:dyDescent="0.25">
      <c r="A517" s="5" t="s">
        <v>165</v>
      </c>
      <c r="B517" s="5" t="s">
        <v>550</v>
      </c>
      <c r="C517" s="11" t="s">
        <v>543</v>
      </c>
      <c r="D517" s="75">
        <v>42552</v>
      </c>
      <c r="E517" s="11" t="s">
        <v>1123</v>
      </c>
      <c r="F517" s="1"/>
      <c r="G517" s="82" t="s">
        <v>1123</v>
      </c>
      <c r="H517" s="5"/>
    </row>
    <row r="518" spans="1:8" s="2" customFormat="1" ht="17.100000000000001" customHeight="1" thickBot="1" x14ac:dyDescent="0.25">
      <c r="A518" s="5" t="s">
        <v>165</v>
      </c>
      <c r="B518" s="5" t="s">
        <v>168</v>
      </c>
      <c r="C518" s="11" t="s">
        <v>434</v>
      </c>
      <c r="D518" s="75">
        <v>42552</v>
      </c>
      <c r="E518" s="11" t="s">
        <v>1123</v>
      </c>
      <c r="F518" s="1"/>
      <c r="G518" s="82" t="s">
        <v>1123</v>
      </c>
      <c r="H518" s="5"/>
    </row>
    <row r="519" spans="1:8" s="2" customFormat="1" ht="17.100000000000001" customHeight="1" thickBot="1" x14ac:dyDescent="0.25">
      <c r="A519" s="5" t="s">
        <v>165</v>
      </c>
      <c r="B519" s="5" t="s">
        <v>539</v>
      </c>
      <c r="C519" s="11" t="s">
        <v>540</v>
      </c>
      <c r="D519" s="75">
        <v>42552</v>
      </c>
      <c r="E519" s="11" t="s">
        <v>1123</v>
      </c>
      <c r="F519" s="1"/>
      <c r="G519" s="82" t="s">
        <v>1123</v>
      </c>
      <c r="H519" s="5"/>
    </row>
    <row r="520" spans="1:8" ht="17.100000000000001" customHeight="1" thickBot="1" x14ac:dyDescent="0.25">
      <c r="A520" s="6" t="s">
        <v>75</v>
      </c>
      <c r="B520" s="6" t="s">
        <v>7</v>
      </c>
      <c r="C520" s="7" t="s">
        <v>304</v>
      </c>
      <c r="D520" s="76">
        <v>42536</v>
      </c>
      <c r="E520" s="7" t="s">
        <v>1123</v>
      </c>
      <c r="G520" s="86" t="s">
        <v>1123</v>
      </c>
      <c r="H520" s="6"/>
    </row>
    <row r="521" spans="1:8" ht="17.100000000000001" customHeight="1" thickBot="1" x14ac:dyDescent="0.25">
      <c r="A521" s="6" t="s">
        <v>75</v>
      </c>
      <c r="B521" s="6" t="s">
        <v>7</v>
      </c>
      <c r="C521" s="7" t="s">
        <v>305</v>
      </c>
      <c r="D521" s="76">
        <v>42536</v>
      </c>
      <c r="E521" s="7" t="s">
        <v>1123</v>
      </c>
      <c r="G521" s="86" t="s">
        <v>1123</v>
      </c>
      <c r="H521" s="6"/>
    </row>
    <row r="522" spans="1:8" s="73" customFormat="1" ht="34.5" customHeight="1" thickBot="1" x14ac:dyDescent="0.25">
      <c r="A522" s="6" t="s">
        <v>75</v>
      </c>
      <c r="B522" s="6" t="s">
        <v>7</v>
      </c>
      <c r="C522" s="7" t="s">
        <v>1023</v>
      </c>
      <c r="D522" s="76">
        <v>42536</v>
      </c>
      <c r="E522" s="7" t="s">
        <v>1122</v>
      </c>
      <c r="F522" s="1"/>
      <c r="G522" s="86" t="s">
        <v>1122</v>
      </c>
      <c r="H522" s="90" t="s">
        <v>1174</v>
      </c>
    </row>
    <row r="523" spans="1:8" s="2" customFormat="1" ht="17.100000000000001" customHeight="1" thickBot="1" x14ac:dyDescent="0.25">
      <c r="A523" s="5" t="s">
        <v>172</v>
      </c>
      <c r="B523" s="5" t="s">
        <v>7</v>
      </c>
      <c r="C523" s="11" t="s">
        <v>433</v>
      </c>
      <c r="D523" s="75">
        <v>42554</v>
      </c>
      <c r="E523" s="11" t="s">
        <v>1127</v>
      </c>
      <c r="F523" s="1"/>
      <c r="G523" s="82" t="s">
        <v>1123</v>
      </c>
      <c r="H523" s="5"/>
    </row>
    <row r="524" spans="1:8" s="2" customFormat="1" ht="17.100000000000001" customHeight="1" thickBot="1" x14ac:dyDescent="0.25">
      <c r="A524" s="5" t="s">
        <v>172</v>
      </c>
      <c r="B524" s="5" t="s">
        <v>7</v>
      </c>
      <c r="C524" s="11" t="s">
        <v>607</v>
      </c>
      <c r="D524" s="75">
        <v>42554</v>
      </c>
      <c r="E524" s="11" t="s">
        <v>1123</v>
      </c>
      <c r="F524" s="1"/>
      <c r="G524" s="82" t="s">
        <v>1125</v>
      </c>
      <c r="H524" s="5"/>
    </row>
    <row r="525" spans="1:8" s="2" customFormat="1" ht="17.100000000000001" customHeight="1" thickBot="1" x14ac:dyDescent="0.25">
      <c r="A525" s="5" t="s">
        <v>172</v>
      </c>
      <c r="B525" s="5" t="s">
        <v>173</v>
      </c>
      <c r="C525" s="11" t="s">
        <v>426</v>
      </c>
      <c r="D525" s="75">
        <v>42554</v>
      </c>
      <c r="E525" s="11" t="s">
        <v>1123</v>
      </c>
      <c r="F525" s="1"/>
      <c r="G525" s="82" t="s">
        <v>1123</v>
      </c>
      <c r="H525" s="5"/>
    </row>
    <row r="526" spans="1:8" ht="17.100000000000001" customHeight="1" thickBot="1" x14ac:dyDescent="0.25">
      <c r="A526" s="6" t="s">
        <v>139</v>
      </c>
      <c r="B526" s="6" t="s">
        <v>7</v>
      </c>
      <c r="C526" s="7" t="s">
        <v>390</v>
      </c>
      <c r="D526" s="76">
        <v>42551</v>
      </c>
      <c r="E526" s="7" t="s">
        <v>1123</v>
      </c>
      <c r="G526" s="86" t="s">
        <v>1123</v>
      </c>
      <c r="H526" s="6"/>
    </row>
    <row r="527" spans="1:8" s="2" customFormat="1" ht="17.100000000000001" customHeight="1" thickBot="1" x14ac:dyDescent="0.25">
      <c r="A527" s="6" t="s">
        <v>139</v>
      </c>
      <c r="B527" s="6" t="s">
        <v>7</v>
      </c>
      <c r="C527" s="7" t="s">
        <v>504</v>
      </c>
      <c r="D527" s="76">
        <v>42551</v>
      </c>
      <c r="E527" s="7" t="s">
        <v>1121</v>
      </c>
      <c r="F527" s="1"/>
      <c r="G527" s="86" t="s">
        <v>1123</v>
      </c>
      <c r="H527" s="6"/>
    </row>
    <row r="528" spans="1:8" ht="17.100000000000001" customHeight="1" thickBot="1" x14ac:dyDescent="0.25">
      <c r="A528" s="6" t="s">
        <v>139</v>
      </c>
      <c r="B528" s="6" t="s">
        <v>7</v>
      </c>
      <c r="C528" s="7" t="s">
        <v>389</v>
      </c>
      <c r="D528" s="76">
        <v>42551</v>
      </c>
      <c r="E528" s="7" t="s">
        <v>1123</v>
      </c>
      <c r="G528" s="86" t="s">
        <v>1123</v>
      </c>
      <c r="H528" s="6"/>
    </row>
    <row r="529" spans="1:8" ht="17.100000000000001" customHeight="1" thickBot="1" x14ac:dyDescent="0.25">
      <c r="A529" s="6" t="s">
        <v>139</v>
      </c>
      <c r="B529" s="6" t="s">
        <v>7</v>
      </c>
      <c r="C529" s="7" t="s">
        <v>897</v>
      </c>
      <c r="D529" s="76">
        <v>42551</v>
      </c>
      <c r="E529" s="7" t="s">
        <v>1123</v>
      </c>
      <c r="G529" s="86" t="s">
        <v>1143</v>
      </c>
      <c r="H529" s="6"/>
    </row>
    <row r="530" spans="1:8" s="2" customFormat="1" ht="17.100000000000001" customHeight="1" thickBot="1" x14ac:dyDescent="0.25">
      <c r="A530" s="6" t="s">
        <v>139</v>
      </c>
      <c r="B530" s="6" t="s">
        <v>7</v>
      </c>
      <c r="C530" s="7" t="s">
        <v>553</v>
      </c>
      <c r="D530" s="76">
        <v>42551</v>
      </c>
      <c r="E530" s="7" t="s">
        <v>1123</v>
      </c>
      <c r="F530" s="1"/>
      <c r="G530" s="86" t="s">
        <v>1123</v>
      </c>
      <c r="H530" s="6"/>
    </row>
    <row r="531" spans="1:8" s="2" customFormat="1" ht="17.100000000000001" customHeight="1" thickBot="1" x14ac:dyDescent="0.25">
      <c r="A531" s="6" t="s">
        <v>139</v>
      </c>
      <c r="B531" s="6" t="s">
        <v>7</v>
      </c>
      <c r="C531" s="7" t="s">
        <v>887</v>
      </c>
      <c r="D531" s="76">
        <v>42551</v>
      </c>
      <c r="E531" s="7" t="s">
        <v>1138</v>
      </c>
      <c r="F531" s="1"/>
      <c r="G531" s="86" t="s">
        <v>1123</v>
      </c>
      <c r="H531" s="6"/>
    </row>
    <row r="532" spans="1:8" ht="17.100000000000001" customHeight="1" thickBot="1" x14ac:dyDescent="0.25">
      <c r="A532" s="6" t="s">
        <v>139</v>
      </c>
      <c r="B532" s="6" t="s">
        <v>861</v>
      </c>
      <c r="C532" s="7" t="s">
        <v>939</v>
      </c>
      <c r="D532" s="76">
        <v>42545</v>
      </c>
      <c r="E532" s="7" t="s">
        <v>1123</v>
      </c>
      <c r="G532" s="86" t="s">
        <v>1123</v>
      </c>
      <c r="H532" s="6"/>
    </row>
    <row r="533" spans="1:8" ht="17.100000000000001" customHeight="1" thickBot="1" x14ac:dyDescent="0.25">
      <c r="A533" s="6" t="s">
        <v>139</v>
      </c>
      <c r="B533" s="6" t="s">
        <v>140</v>
      </c>
      <c r="C533" s="7" t="s">
        <v>505</v>
      </c>
      <c r="D533" s="76">
        <v>42538</v>
      </c>
      <c r="E533" s="7" t="s">
        <v>1123</v>
      </c>
      <c r="G533" s="86" t="s">
        <v>1123</v>
      </c>
      <c r="H533" s="6"/>
    </row>
    <row r="534" spans="1:8" ht="17.100000000000001" customHeight="1" thickBot="1" x14ac:dyDescent="0.25">
      <c r="A534" s="6" t="s">
        <v>139</v>
      </c>
      <c r="B534" s="6" t="s">
        <v>141</v>
      </c>
      <c r="C534" s="7" t="s">
        <v>391</v>
      </c>
      <c r="D534" s="76">
        <v>42545</v>
      </c>
      <c r="E534" s="7" t="s">
        <v>1123</v>
      </c>
      <c r="G534" s="86" t="s">
        <v>1123</v>
      </c>
      <c r="H534" s="6"/>
    </row>
    <row r="535" spans="1:8" ht="17.100000000000001" customHeight="1" thickBot="1" x14ac:dyDescent="0.25">
      <c r="A535" s="6" t="s">
        <v>139</v>
      </c>
      <c r="B535" s="6" t="s">
        <v>142</v>
      </c>
      <c r="C535" s="7" t="s">
        <v>393</v>
      </c>
      <c r="D535" s="76">
        <v>42541</v>
      </c>
      <c r="E535" s="7" t="s">
        <v>1123</v>
      </c>
      <c r="G535" s="86" t="s">
        <v>1123</v>
      </c>
      <c r="H535" s="6"/>
    </row>
    <row r="536" spans="1:8" ht="17.100000000000001" customHeight="1" thickBot="1" x14ac:dyDescent="0.25">
      <c r="A536" s="6" t="s">
        <v>139</v>
      </c>
      <c r="B536" s="6" t="s">
        <v>143</v>
      </c>
      <c r="C536" s="7" t="s">
        <v>506</v>
      </c>
      <c r="D536" s="76">
        <v>42551</v>
      </c>
      <c r="E536" s="7" t="s">
        <v>1123</v>
      </c>
      <c r="G536" s="86" t="s">
        <v>1123</v>
      </c>
      <c r="H536" s="6"/>
    </row>
    <row r="537" spans="1:8" ht="17.100000000000001" customHeight="1" thickBot="1" x14ac:dyDescent="0.25">
      <c r="A537" s="5" t="s">
        <v>118</v>
      </c>
      <c r="B537" s="5" t="s">
        <v>7</v>
      </c>
      <c r="C537" s="11" t="s">
        <v>1095</v>
      </c>
      <c r="D537" s="75">
        <v>42552</v>
      </c>
      <c r="E537" s="11" t="s">
        <v>1121</v>
      </c>
      <c r="G537" s="82" t="s">
        <v>1123</v>
      </c>
      <c r="H537" s="5"/>
    </row>
    <row r="538" spans="1:8" s="2" customFormat="1" ht="17.100000000000001" customHeight="1" thickBot="1" x14ac:dyDescent="0.25">
      <c r="A538" s="5" t="s">
        <v>118</v>
      </c>
      <c r="B538" s="5" t="s">
        <v>7</v>
      </c>
      <c r="C538" s="11" t="s">
        <v>348</v>
      </c>
      <c r="D538" s="75">
        <v>42552</v>
      </c>
      <c r="E538" s="11" t="s">
        <v>1123</v>
      </c>
      <c r="F538" s="1"/>
      <c r="G538" s="82" t="s">
        <v>1123</v>
      </c>
      <c r="H538" s="5"/>
    </row>
    <row r="539" spans="1:8" s="2" customFormat="1" ht="17.100000000000001" customHeight="1" thickBot="1" x14ac:dyDescent="0.25">
      <c r="A539" s="5" t="s">
        <v>118</v>
      </c>
      <c r="B539" s="5" t="s">
        <v>7</v>
      </c>
      <c r="C539" s="11" t="s">
        <v>1096</v>
      </c>
      <c r="D539" s="75">
        <v>42552</v>
      </c>
      <c r="E539" s="11" t="s">
        <v>1123</v>
      </c>
      <c r="F539" s="1"/>
      <c r="G539" s="82" t="s">
        <v>1125</v>
      </c>
      <c r="H539" s="5"/>
    </row>
    <row r="540" spans="1:8" s="2" customFormat="1" ht="17.100000000000001" customHeight="1" thickBot="1" x14ac:dyDescent="0.25">
      <c r="A540" s="5" t="s">
        <v>118</v>
      </c>
      <c r="B540" s="5" t="s">
        <v>7</v>
      </c>
      <c r="C540" s="11" t="s">
        <v>1097</v>
      </c>
      <c r="D540" s="75">
        <v>42552</v>
      </c>
      <c r="E540" s="11" t="s">
        <v>1123</v>
      </c>
      <c r="F540" s="1"/>
      <c r="G540" s="82" t="s">
        <v>1123</v>
      </c>
      <c r="H540" s="5"/>
    </row>
    <row r="541" spans="1:8" s="2" customFormat="1" ht="17.100000000000001" customHeight="1" thickBot="1" x14ac:dyDescent="0.25">
      <c r="A541" s="6" t="s">
        <v>211</v>
      </c>
      <c r="B541" s="6" t="s">
        <v>7</v>
      </c>
      <c r="C541" s="7" t="s">
        <v>473</v>
      </c>
      <c r="D541" s="95" t="s">
        <v>1126</v>
      </c>
      <c r="E541" s="96"/>
      <c r="F541" s="96"/>
      <c r="G541" s="97"/>
      <c r="H541" s="6"/>
    </row>
    <row r="542" spans="1:8" s="2" customFormat="1" ht="26.25" customHeight="1" thickBot="1" x14ac:dyDescent="0.25">
      <c r="A542" s="6" t="s">
        <v>211</v>
      </c>
      <c r="B542" s="6" t="s">
        <v>7</v>
      </c>
      <c r="C542" s="7" t="s">
        <v>608</v>
      </c>
      <c r="D542" s="95"/>
      <c r="E542" s="96"/>
      <c r="F542" s="96"/>
      <c r="G542" s="97"/>
      <c r="H542" s="6"/>
    </row>
    <row r="543" spans="1:8" ht="17.100000000000001" customHeight="1" thickBot="1" x14ac:dyDescent="0.25">
      <c r="A543" s="5" t="s">
        <v>82</v>
      </c>
      <c r="B543" s="5" t="s">
        <v>7</v>
      </c>
      <c r="C543" s="11" t="s">
        <v>315</v>
      </c>
      <c r="D543" s="75">
        <v>42538</v>
      </c>
      <c r="E543" s="11" t="s">
        <v>1121</v>
      </c>
      <c r="G543" s="82" t="s">
        <v>1146</v>
      </c>
      <c r="H543" s="5"/>
    </row>
    <row r="544" spans="1:8" ht="17.100000000000001" customHeight="1" thickBot="1" x14ac:dyDescent="0.25">
      <c r="A544" s="5" t="s">
        <v>82</v>
      </c>
      <c r="B544" s="5" t="s">
        <v>7</v>
      </c>
      <c r="C544" s="11" t="s">
        <v>873</v>
      </c>
      <c r="D544" s="75">
        <v>42539</v>
      </c>
      <c r="E544" s="11" t="s">
        <v>1123</v>
      </c>
      <c r="G544" s="82" t="s">
        <v>1123</v>
      </c>
      <c r="H544" s="5"/>
    </row>
    <row r="545" spans="1:8" ht="17.100000000000001" customHeight="1" thickBot="1" x14ac:dyDescent="0.25">
      <c r="A545" s="5" t="s">
        <v>82</v>
      </c>
      <c r="B545" s="5" t="s">
        <v>931</v>
      </c>
      <c r="C545" s="11" t="s">
        <v>308</v>
      </c>
      <c r="D545" s="75">
        <v>42551</v>
      </c>
      <c r="E545" s="11" t="s">
        <v>1123</v>
      </c>
      <c r="G545" s="82" t="s">
        <v>1123</v>
      </c>
      <c r="H545" s="5"/>
    </row>
    <row r="546" spans="1:8" ht="17.100000000000001" customHeight="1" thickBot="1" x14ac:dyDescent="0.25">
      <c r="A546" s="5" t="s">
        <v>82</v>
      </c>
      <c r="B546" s="5" t="s">
        <v>83</v>
      </c>
      <c r="C546" s="11" t="s">
        <v>1033</v>
      </c>
      <c r="D546" s="75">
        <v>42538</v>
      </c>
      <c r="E546" s="11" t="s">
        <v>1123</v>
      </c>
      <c r="G546" s="82" t="s">
        <v>1123</v>
      </c>
      <c r="H546" s="5"/>
    </row>
    <row r="547" spans="1:8" ht="17.100000000000001" customHeight="1" thickBot="1" x14ac:dyDescent="0.25">
      <c r="A547" s="5" t="s">
        <v>82</v>
      </c>
      <c r="B547" s="5" t="s">
        <v>83</v>
      </c>
      <c r="C547" s="11" t="s">
        <v>309</v>
      </c>
      <c r="D547" s="75">
        <v>42538</v>
      </c>
      <c r="E547" s="11" t="s">
        <v>1123</v>
      </c>
      <c r="G547" s="82" t="s">
        <v>1123</v>
      </c>
      <c r="H547" s="5"/>
    </row>
    <row r="548" spans="1:8" ht="17.100000000000001" customHeight="1" thickBot="1" x14ac:dyDescent="0.25">
      <c r="A548" s="5" t="s">
        <v>82</v>
      </c>
      <c r="B548" s="5" t="s">
        <v>84</v>
      </c>
      <c r="C548" s="11" t="s">
        <v>310</v>
      </c>
      <c r="D548" s="75">
        <v>42551</v>
      </c>
      <c r="E548" s="11" t="s">
        <v>1123</v>
      </c>
      <c r="G548" s="82" t="s">
        <v>1123</v>
      </c>
      <c r="H548" s="5"/>
    </row>
    <row r="549" spans="1:8" ht="17.100000000000001" customHeight="1" thickBot="1" x14ac:dyDescent="0.25">
      <c r="A549" s="5" t="s">
        <v>82</v>
      </c>
      <c r="B549" s="5" t="s">
        <v>85</v>
      </c>
      <c r="C549" s="11" t="s">
        <v>313</v>
      </c>
      <c r="D549" s="75">
        <v>42538</v>
      </c>
      <c r="E549" s="11" t="s">
        <v>1123</v>
      </c>
      <c r="G549" s="82" t="s">
        <v>1123</v>
      </c>
      <c r="H549" s="5"/>
    </row>
    <row r="550" spans="1:8" ht="17.100000000000001" customHeight="1" thickBot="1" x14ac:dyDescent="0.25">
      <c r="A550" s="5" t="s">
        <v>82</v>
      </c>
      <c r="B550" s="5" t="s">
        <v>86</v>
      </c>
      <c r="C550" s="11" t="s">
        <v>314</v>
      </c>
      <c r="D550" s="75">
        <v>42551</v>
      </c>
      <c r="E550" s="11" t="s">
        <v>1123</v>
      </c>
      <c r="G550" s="82" t="s">
        <v>1123</v>
      </c>
      <c r="H550" s="5"/>
    </row>
    <row r="551" spans="1:8" s="2" customFormat="1" ht="17.100000000000001" customHeight="1" thickBot="1" x14ac:dyDescent="0.25">
      <c r="A551" s="6" t="s">
        <v>174</v>
      </c>
      <c r="B551" s="6" t="s">
        <v>7</v>
      </c>
      <c r="C551" s="7" t="s">
        <v>609</v>
      </c>
      <c r="D551" s="76">
        <v>42552</v>
      </c>
      <c r="E551" s="7" t="s">
        <v>1123</v>
      </c>
      <c r="F551" s="1"/>
      <c r="G551" s="86" t="s">
        <v>1125</v>
      </c>
      <c r="H551" s="6"/>
    </row>
    <row r="552" spans="1:8" s="2" customFormat="1" ht="17.100000000000001" customHeight="1" thickBot="1" x14ac:dyDescent="0.25">
      <c r="A552" s="6" t="s">
        <v>174</v>
      </c>
      <c r="B552" s="6" t="s">
        <v>7</v>
      </c>
      <c r="C552" s="7" t="s">
        <v>435</v>
      </c>
      <c r="D552" s="76">
        <v>42552</v>
      </c>
      <c r="E552" s="7" t="s">
        <v>1123</v>
      </c>
      <c r="F552" s="1"/>
      <c r="G552" s="86" t="s">
        <v>1123</v>
      </c>
      <c r="H552" s="6"/>
    </row>
    <row r="553" spans="1:8" s="22" customFormat="1" ht="17.100000000000001" customHeight="1" thickBot="1" x14ac:dyDescent="0.25">
      <c r="A553" s="6" t="s">
        <v>174</v>
      </c>
      <c r="B553" s="6" t="s">
        <v>7</v>
      </c>
      <c r="C553" s="7" t="s">
        <v>436</v>
      </c>
      <c r="D553" s="76">
        <v>42552</v>
      </c>
      <c r="E553" s="7" t="s">
        <v>1121</v>
      </c>
      <c r="F553" s="1"/>
      <c r="G553" s="86" t="s">
        <v>1123</v>
      </c>
      <c r="H553" s="6"/>
    </row>
    <row r="554" spans="1:8" s="2" customFormat="1" ht="17.100000000000001" customHeight="1" thickBot="1" x14ac:dyDescent="0.25">
      <c r="A554" s="6" t="s">
        <v>174</v>
      </c>
      <c r="B554" s="6" t="s">
        <v>7</v>
      </c>
      <c r="C554" s="7" t="s">
        <v>437</v>
      </c>
      <c r="D554" s="76">
        <v>42552</v>
      </c>
      <c r="E554" s="7" t="s">
        <v>1123</v>
      </c>
      <c r="F554" s="1"/>
      <c r="G554" s="86" t="s">
        <v>1123</v>
      </c>
      <c r="H554" s="6"/>
    </row>
    <row r="555" spans="1:8" ht="17.100000000000001" customHeight="1" thickBot="1" x14ac:dyDescent="0.25">
      <c r="A555" s="6" t="s">
        <v>174</v>
      </c>
      <c r="B555" s="6" t="s">
        <v>7</v>
      </c>
      <c r="C555" s="7" t="s">
        <v>894</v>
      </c>
      <c r="D555" s="76">
        <v>42552</v>
      </c>
      <c r="E555" s="7" t="s">
        <v>1123</v>
      </c>
      <c r="G555" s="86" t="s">
        <v>1123</v>
      </c>
      <c r="H555" s="6"/>
    </row>
    <row r="556" spans="1:8" ht="17.100000000000001" customHeight="1" thickBot="1" x14ac:dyDescent="0.25">
      <c r="A556" s="6" t="s">
        <v>174</v>
      </c>
      <c r="B556" s="6" t="s">
        <v>175</v>
      </c>
      <c r="C556" s="7" t="s">
        <v>429</v>
      </c>
      <c r="D556" s="76">
        <v>42551</v>
      </c>
      <c r="E556" s="7" t="s">
        <v>1123</v>
      </c>
      <c r="G556" s="86" t="s">
        <v>1123</v>
      </c>
      <c r="H556" s="6"/>
    </row>
    <row r="557" spans="1:8" ht="17.100000000000001" customHeight="1" thickBot="1" x14ac:dyDescent="0.25">
      <c r="A557" s="6" t="s">
        <v>174</v>
      </c>
      <c r="B557" s="6" t="s">
        <v>176</v>
      </c>
      <c r="C557" s="7" t="s">
        <v>432</v>
      </c>
      <c r="D557" s="76">
        <v>42551</v>
      </c>
      <c r="E557" s="7" t="s">
        <v>1123</v>
      </c>
      <c r="G557" s="86" t="s">
        <v>1123</v>
      </c>
      <c r="H557" s="6"/>
    </row>
    <row r="558" spans="1:8" s="2" customFormat="1" ht="17.100000000000001" customHeight="1" thickBot="1" x14ac:dyDescent="0.25">
      <c r="A558" s="6" t="s">
        <v>174</v>
      </c>
      <c r="B558" s="6" t="s">
        <v>177</v>
      </c>
      <c r="C558" s="7" t="s">
        <v>438</v>
      </c>
      <c r="D558" s="76">
        <v>42551</v>
      </c>
      <c r="E558" s="7" t="s">
        <v>1123</v>
      </c>
      <c r="F558" s="1"/>
      <c r="G558" s="86" t="s">
        <v>1123</v>
      </c>
      <c r="H558" s="6"/>
    </row>
    <row r="559" spans="1:8" s="2" customFormat="1" ht="17.100000000000001" customHeight="1" thickBot="1" x14ac:dyDescent="0.25">
      <c r="A559" s="6" t="s">
        <v>174</v>
      </c>
      <c r="B559" s="6" t="s">
        <v>178</v>
      </c>
      <c r="C559" s="7" t="s">
        <v>439</v>
      </c>
      <c r="D559" s="76">
        <v>42552</v>
      </c>
      <c r="E559" s="7" t="s">
        <v>1128</v>
      </c>
      <c r="F559" s="1"/>
      <c r="G559" s="86" t="s">
        <v>1124</v>
      </c>
      <c r="H559" s="6"/>
    </row>
    <row r="560" spans="1:8" s="2" customFormat="1" ht="17.100000000000001" customHeight="1" thickBot="1" x14ac:dyDescent="0.25">
      <c r="A560" s="5" t="s">
        <v>179</v>
      </c>
      <c r="B560" s="5" t="s">
        <v>7</v>
      </c>
      <c r="C560" s="11" t="s">
        <v>1110</v>
      </c>
      <c r="D560" s="75">
        <v>42551</v>
      </c>
      <c r="E560" s="11" t="s">
        <v>1123</v>
      </c>
      <c r="F560" s="1"/>
      <c r="G560" s="82" t="s">
        <v>1124</v>
      </c>
      <c r="H560" s="5"/>
    </row>
    <row r="561" spans="1:8" ht="17.100000000000001" customHeight="1" thickBot="1" x14ac:dyDescent="0.25">
      <c r="A561" s="5" t="s">
        <v>179</v>
      </c>
      <c r="B561" s="5" t="s">
        <v>7</v>
      </c>
      <c r="C561" s="11" t="s">
        <v>440</v>
      </c>
      <c r="D561" s="75">
        <v>42545</v>
      </c>
      <c r="E561" s="11" t="s">
        <v>1122</v>
      </c>
      <c r="G561" s="82" t="s">
        <v>1123</v>
      </c>
      <c r="H561" s="5" t="s">
        <v>1145</v>
      </c>
    </row>
    <row r="562" spans="1:8" s="2" customFormat="1" ht="17.100000000000001" customHeight="1" thickBot="1" x14ac:dyDescent="0.25">
      <c r="A562" s="5" t="s">
        <v>179</v>
      </c>
      <c r="B562" s="5" t="s">
        <v>7</v>
      </c>
      <c r="C562" s="11" t="s">
        <v>610</v>
      </c>
      <c r="D562" s="75">
        <v>42551</v>
      </c>
      <c r="E562" s="11" t="s">
        <v>1138</v>
      </c>
      <c r="F562" s="1"/>
      <c r="G562" s="82" t="s">
        <v>1123</v>
      </c>
      <c r="H562" s="5"/>
    </row>
    <row r="563" spans="1:8" s="73" customFormat="1" ht="17.100000000000001" customHeight="1" thickBot="1" x14ac:dyDescent="0.25">
      <c r="A563" s="5" t="s">
        <v>179</v>
      </c>
      <c r="B563" s="5" t="s">
        <v>7</v>
      </c>
      <c r="C563" s="11" t="s">
        <v>441</v>
      </c>
      <c r="D563" s="75">
        <v>42562</v>
      </c>
      <c r="E563" s="11" t="s">
        <v>1122</v>
      </c>
      <c r="F563" s="1"/>
      <c r="G563" s="82" t="s">
        <v>1122</v>
      </c>
      <c r="H563" s="5"/>
    </row>
    <row r="564" spans="1:8" s="2" customFormat="1" ht="17.100000000000001" customHeight="1" thickBot="1" x14ac:dyDescent="0.25">
      <c r="A564" s="5" t="s">
        <v>179</v>
      </c>
      <c r="B564" s="5" t="s">
        <v>180</v>
      </c>
      <c r="C564" s="11" t="s">
        <v>442</v>
      </c>
      <c r="D564" s="75">
        <v>42551</v>
      </c>
      <c r="E564" s="11" t="s">
        <v>1123</v>
      </c>
      <c r="F564" s="1"/>
      <c r="G564" s="82" t="s">
        <v>1143</v>
      </c>
      <c r="H564" s="5" t="s">
        <v>1145</v>
      </c>
    </row>
    <row r="565" spans="1:8" s="2" customFormat="1" ht="17.100000000000001" customHeight="1" thickBot="1" x14ac:dyDescent="0.25">
      <c r="A565" s="5" t="s">
        <v>179</v>
      </c>
      <c r="B565" s="5" t="s">
        <v>180</v>
      </c>
      <c r="C565" s="11" t="s">
        <v>611</v>
      </c>
      <c r="D565" s="75">
        <v>42551</v>
      </c>
      <c r="E565" s="11" t="s">
        <v>1122</v>
      </c>
      <c r="F565" s="1"/>
      <c r="G565" s="82" t="s">
        <v>1123</v>
      </c>
      <c r="H565" s="93" t="s">
        <v>1169</v>
      </c>
    </row>
    <row r="566" spans="1:8" ht="17.100000000000001" customHeight="1" thickBot="1" x14ac:dyDescent="0.25">
      <c r="A566" s="5" t="s">
        <v>179</v>
      </c>
      <c r="B566" s="5" t="s">
        <v>181</v>
      </c>
      <c r="C566" s="11" t="s">
        <v>893</v>
      </c>
      <c r="D566" s="75">
        <v>42545</v>
      </c>
      <c r="E566" s="11" t="s">
        <v>1123</v>
      </c>
      <c r="G566" s="82" t="s">
        <v>1123</v>
      </c>
      <c r="H566" s="5"/>
    </row>
    <row r="567" spans="1:8" s="2" customFormat="1" ht="17.100000000000001" customHeight="1" thickBot="1" x14ac:dyDescent="0.25">
      <c r="A567" s="5" t="s">
        <v>179</v>
      </c>
      <c r="B567" s="5" t="s">
        <v>182</v>
      </c>
      <c r="C567" s="11" t="s">
        <v>453</v>
      </c>
      <c r="D567" s="75">
        <v>42548</v>
      </c>
      <c r="E567" s="11" t="s">
        <v>1123</v>
      </c>
      <c r="F567" s="1"/>
      <c r="G567" s="82" t="s">
        <v>1123</v>
      </c>
      <c r="H567" s="5"/>
    </row>
    <row r="568" spans="1:8" s="2" customFormat="1" ht="17.100000000000001" customHeight="1" thickBot="1" x14ac:dyDescent="0.25">
      <c r="A568" s="5" t="s">
        <v>179</v>
      </c>
      <c r="B568" s="5" t="s">
        <v>183</v>
      </c>
      <c r="C568" s="11" t="s">
        <v>1111</v>
      </c>
      <c r="D568" s="75">
        <v>42551</v>
      </c>
      <c r="E568" s="11" t="s">
        <v>1123</v>
      </c>
      <c r="F568" s="1"/>
      <c r="G568" s="82" t="s">
        <v>1123</v>
      </c>
      <c r="H568" s="5"/>
    </row>
    <row r="569" spans="1:8" ht="17.100000000000001" customHeight="1" thickBot="1" x14ac:dyDescent="0.25">
      <c r="A569" s="5" t="s">
        <v>179</v>
      </c>
      <c r="B569" s="5" t="s">
        <v>184</v>
      </c>
      <c r="C569" s="11" t="s">
        <v>914</v>
      </c>
      <c r="D569" s="75">
        <v>42552</v>
      </c>
      <c r="E569" s="11" t="s">
        <v>1123</v>
      </c>
      <c r="G569" s="82" t="s">
        <v>1123</v>
      </c>
      <c r="H569" s="5"/>
    </row>
    <row r="570" spans="1:8" ht="17.100000000000001" customHeight="1" thickBot="1" x14ac:dyDescent="0.25">
      <c r="A570" s="5" t="s">
        <v>179</v>
      </c>
      <c r="B570" s="5" t="s">
        <v>881</v>
      </c>
      <c r="C570" s="11" t="s">
        <v>1112</v>
      </c>
      <c r="D570" s="75">
        <v>42552</v>
      </c>
      <c r="E570" s="11" t="s">
        <v>1123</v>
      </c>
      <c r="G570" s="82" t="s">
        <v>1123</v>
      </c>
      <c r="H570" s="5"/>
    </row>
    <row r="571" spans="1:8" ht="17.100000000000001" customHeight="1" thickBot="1" x14ac:dyDescent="0.25">
      <c r="A571" s="6" t="s">
        <v>164</v>
      </c>
      <c r="B571" s="6" t="s">
        <v>7</v>
      </c>
      <c r="C571" s="7" t="s">
        <v>420</v>
      </c>
      <c r="D571" s="76">
        <v>42552</v>
      </c>
      <c r="E571" s="7" t="s">
        <v>1125</v>
      </c>
      <c r="G571" s="86" t="s">
        <v>1123</v>
      </c>
      <c r="H571" s="6"/>
    </row>
    <row r="572" spans="1:8" ht="17.100000000000001" customHeight="1" thickBot="1" x14ac:dyDescent="0.25">
      <c r="A572" s="6" t="s">
        <v>164</v>
      </c>
      <c r="B572" s="6" t="s">
        <v>7</v>
      </c>
      <c r="C572" s="7" t="s">
        <v>920</v>
      </c>
      <c r="D572" s="76">
        <v>42552</v>
      </c>
      <c r="E572" s="7" t="s">
        <v>1123</v>
      </c>
      <c r="G572" s="86" t="s">
        <v>1123</v>
      </c>
      <c r="H572" s="6"/>
    </row>
    <row r="573" spans="1:8" ht="17.100000000000001" customHeight="1" thickBot="1" x14ac:dyDescent="0.25">
      <c r="A573" s="6" t="s">
        <v>164</v>
      </c>
      <c r="B573" s="6" t="s">
        <v>7</v>
      </c>
      <c r="C573" s="7" t="s">
        <v>612</v>
      </c>
      <c r="D573" s="76">
        <v>42552</v>
      </c>
      <c r="E573" s="7" t="s">
        <v>1123</v>
      </c>
      <c r="G573" s="86" t="s">
        <v>1125</v>
      </c>
      <c r="H573" s="6"/>
    </row>
    <row r="574" spans="1:8" ht="17.100000000000001" customHeight="1" thickBot="1" x14ac:dyDescent="0.25">
      <c r="A574" s="5" t="s">
        <v>70</v>
      </c>
      <c r="B574" s="5" t="s">
        <v>7</v>
      </c>
      <c r="C574" s="11" t="s">
        <v>298</v>
      </c>
      <c r="D574" s="75">
        <v>42552</v>
      </c>
      <c r="E574" s="11" t="s">
        <v>1123</v>
      </c>
      <c r="G574" s="82" t="s">
        <v>1121</v>
      </c>
      <c r="H574" s="5"/>
    </row>
    <row r="575" spans="1:8" ht="17.100000000000001" customHeight="1" thickBot="1" x14ac:dyDescent="0.25">
      <c r="A575" s="5" t="s">
        <v>70</v>
      </c>
      <c r="B575" s="5" t="s">
        <v>7</v>
      </c>
      <c r="C575" s="11" t="s">
        <v>299</v>
      </c>
      <c r="D575" s="75">
        <v>42552</v>
      </c>
      <c r="E575" s="11" t="s">
        <v>1121</v>
      </c>
      <c r="G575" s="82" t="s">
        <v>1123</v>
      </c>
      <c r="H575" s="5"/>
    </row>
    <row r="576" spans="1:8" ht="17.100000000000001" customHeight="1" thickBot="1" x14ac:dyDescent="0.25">
      <c r="A576" s="6" t="s">
        <v>200</v>
      </c>
      <c r="B576" s="6" t="s">
        <v>7</v>
      </c>
      <c r="C576" s="7" t="s">
        <v>461</v>
      </c>
      <c r="D576" s="76">
        <v>42551</v>
      </c>
      <c r="E576" s="7" t="s">
        <v>1123</v>
      </c>
      <c r="G576" s="86" t="s">
        <v>1123</v>
      </c>
      <c r="H576" s="6"/>
    </row>
    <row r="577" spans="1:8" ht="17.100000000000001" customHeight="1" thickBot="1" x14ac:dyDescent="0.25">
      <c r="A577" s="6" t="s">
        <v>200</v>
      </c>
      <c r="B577" s="6" t="s">
        <v>7</v>
      </c>
      <c r="C577" s="7" t="s">
        <v>613</v>
      </c>
      <c r="D577" s="76">
        <v>42551</v>
      </c>
      <c r="E577" s="7" t="s">
        <v>1123</v>
      </c>
      <c r="G577" s="86" t="s">
        <v>1123</v>
      </c>
      <c r="H577" s="6"/>
    </row>
    <row r="578" spans="1:8" s="2" customFormat="1" ht="17.100000000000001" customHeight="1" thickBot="1" x14ac:dyDescent="0.25">
      <c r="A578" s="6" t="s">
        <v>200</v>
      </c>
      <c r="B578" s="6" t="s">
        <v>7</v>
      </c>
      <c r="C578" s="7" t="s">
        <v>614</v>
      </c>
      <c r="D578" s="76">
        <v>42551</v>
      </c>
      <c r="E578" s="7" t="s">
        <v>1123</v>
      </c>
      <c r="F578" s="1"/>
      <c r="G578" s="86" t="s">
        <v>1123</v>
      </c>
      <c r="H578" s="6"/>
    </row>
    <row r="579" spans="1:8" ht="17.100000000000001" customHeight="1" thickBot="1" x14ac:dyDescent="0.25">
      <c r="A579" s="6" t="s">
        <v>200</v>
      </c>
      <c r="B579" s="6" t="s">
        <v>7</v>
      </c>
      <c r="C579" s="7" t="s">
        <v>615</v>
      </c>
      <c r="D579" s="76">
        <v>42551</v>
      </c>
      <c r="E579" s="7" t="s">
        <v>1138</v>
      </c>
      <c r="G579" s="86" t="s">
        <v>1123</v>
      </c>
      <c r="H579" s="6"/>
    </row>
    <row r="580" spans="1:8" s="2" customFormat="1" ht="17.100000000000001" customHeight="1" thickBot="1" x14ac:dyDescent="0.25">
      <c r="A580" s="6" t="s">
        <v>200</v>
      </c>
      <c r="B580" s="6" t="s">
        <v>7</v>
      </c>
      <c r="C580" s="7" t="s">
        <v>462</v>
      </c>
      <c r="D580" s="76">
        <v>42551</v>
      </c>
      <c r="E580" s="7" t="s">
        <v>1123</v>
      </c>
      <c r="F580" s="1"/>
      <c r="G580" s="86" t="s">
        <v>1127</v>
      </c>
      <c r="H580" s="6"/>
    </row>
    <row r="581" spans="1:8" s="2" customFormat="1" ht="17.100000000000001" customHeight="1" thickBot="1" x14ac:dyDescent="0.25">
      <c r="A581" s="6" t="s">
        <v>200</v>
      </c>
      <c r="B581" s="6" t="s">
        <v>7</v>
      </c>
      <c r="C581" s="7" t="s">
        <v>866</v>
      </c>
      <c r="D581" s="76">
        <v>42551</v>
      </c>
      <c r="E581" s="7" t="s">
        <v>1123</v>
      </c>
      <c r="F581" s="1"/>
      <c r="G581" s="86" t="s">
        <v>1123</v>
      </c>
      <c r="H581" s="6"/>
    </row>
    <row r="582" spans="1:8" s="2" customFormat="1" ht="17.100000000000001" customHeight="1" thickBot="1" x14ac:dyDescent="0.25">
      <c r="A582" s="6" t="s">
        <v>200</v>
      </c>
      <c r="B582" s="6" t="s">
        <v>7</v>
      </c>
      <c r="C582" s="7" t="s">
        <v>616</v>
      </c>
      <c r="D582" s="76">
        <v>42551</v>
      </c>
      <c r="E582" s="7" t="s">
        <v>1123</v>
      </c>
      <c r="F582" s="1"/>
      <c r="G582" s="86" t="s">
        <v>1123</v>
      </c>
      <c r="H582" s="6"/>
    </row>
    <row r="583" spans="1:8" ht="17.100000000000001" customHeight="1" thickBot="1" x14ac:dyDescent="0.25">
      <c r="A583" s="6" t="s">
        <v>200</v>
      </c>
      <c r="B583" s="6" t="s">
        <v>201</v>
      </c>
      <c r="C583" s="7" t="s">
        <v>467</v>
      </c>
      <c r="D583" s="76">
        <v>42549</v>
      </c>
      <c r="E583" s="7" t="s">
        <v>1123</v>
      </c>
      <c r="G583" s="86" t="s">
        <v>1123</v>
      </c>
      <c r="H583" s="6"/>
    </row>
    <row r="584" spans="1:8" ht="16.5" thickBot="1" x14ac:dyDescent="0.25">
      <c r="A584" s="6" t="s">
        <v>200</v>
      </c>
      <c r="B584" s="6" t="s">
        <v>202</v>
      </c>
      <c r="C584" s="7" t="s">
        <v>468</v>
      </c>
      <c r="D584" s="76">
        <v>42549</v>
      </c>
      <c r="E584" s="7" t="s">
        <v>1123</v>
      </c>
      <c r="G584" s="86" t="s">
        <v>1123</v>
      </c>
      <c r="H584" s="6"/>
    </row>
    <row r="585" spans="1:8" s="2" customFormat="1" ht="16.5" thickBot="1" x14ac:dyDescent="0.25">
      <c r="A585" s="6" t="s">
        <v>200</v>
      </c>
      <c r="B585" s="6" t="s">
        <v>203</v>
      </c>
      <c r="C585" s="7" t="s">
        <v>472</v>
      </c>
      <c r="D585" s="76">
        <v>42551</v>
      </c>
      <c r="E585" s="7" t="s">
        <v>1123</v>
      </c>
      <c r="F585" s="1"/>
      <c r="G585" s="86" t="s">
        <v>1123</v>
      </c>
      <c r="H585" s="6"/>
    </row>
    <row r="586" spans="1:8" ht="16.5" thickBot="1" x14ac:dyDescent="0.25">
      <c r="A586" s="5" t="s">
        <v>55</v>
      </c>
      <c r="B586" s="5" t="s">
        <v>7</v>
      </c>
      <c r="C586" s="11" t="s">
        <v>285</v>
      </c>
      <c r="D586" s="75">
        <v>42538</v>
      </c>
      <c r="E586" s="11" t="s">
        <v>1138</v>
      </c>
      <c r="G586" s="82" t="s">
        <v>1123</v>
      </c>
      <c r="H586" s="5"/>
    </row>
    <row r="587" spans="1:8" ht="16.5" thickBot="1" x14ac:dyDescent="0.25">
      <c r="A587" s="5" t="s">
        <v>55</v>
      </c>
      <c r="B587" s="5" t="s">
        <v>562</v>
      </c>
      <c r="C587" s="11" t="s">
        <v>284</v>
      </c>
      <c r="D587" s="75">
        <v>42538</v>
      </c>
      <c r="E587" s="11" t="s">
        <v>1123</v>
      </c>
      <c r="G587" s="82" t="s">
        <v>1154</v>
      </c>
      <c r="H587" s="5"/>
    </row>
    <row r="588" spans="1:8" s="2" customFormat="1" ht="16.5" thickBot="1" x14ac:dyDescent="0.25">
      <c r="A588" s="6" t="s">
        <v>144</v>
      </c>
      <c r="B588" s="6" t="s">
        <v>7</v>
      </c>
      <c r="C588" s="7" t="s">
        <v>394</v>
      </c>
      <c r="D588" s="76">
        <v>42551</v>
      </c>
      <c r="E588" s="7" t="s">
        <v>1124</v>
      </c>
      <c r="F588" s="1"/>
      <c r="G588" s="86" t="s">
        <v>1123</v>
      </c>
      <c r="H588" s="6"/>
    </row>
    <row r="589" spans="1:8" s="2" customFormat="1" ht="16.5" thickBot="1" x14ac:dyDescent="0.25">
      <c r="A589" s="6" t="s">
        <v>144</v>
      </c>
      <c r="B589" s="6" t="s">
        <v>7</v>
      </c>
      <c r="C589" s="7" t="s">
        <v>617</v>
      </c>
      <c r="D589" s="76">
        <v>42551</v>
      </c>
      <c r="E589" s="7" t="s">
        <v>1123</v>
      </c>
      <c r="F589" s="1"/>
      <c r="G589" s="86" t="s">
        <v>1123</v>
      </c>
      <c r="H589" s="6"/>
    </row>
    <row r="590" spans="1:8" ht="16.5" thickBot="1" x14ac:dyDescent="0.25">
      <c r="A590" s="6" t="s">
        <v>144</v>
      </c>
      <c r="B590" s="6" t="s">
        <v>7</v>
      </c>
      <c r="C590" s="7" t="s">
        <v>395</v>
      </c>
      <c r="D590" s="76">
        <v>42551</v>
      </c>
      <c r="E590" s="7" t="s">
        <v>1123</v>
      </c>
      <c r="G590" s="86" t="s">
        <v>1123</v>
      </c>
      <c r="H590" s="6"/>
    </row>
    <row r="591" spans="1:8" ht="16.5" thickBot="1" x14ac:dyDescent="0.25">
      <c r="A591" s="6" t="s">
        <v>144</v>
      </c>
      <c r="B591" s="6" t="s">
        <v>7</v>
      </c>
      <c r="C591" s="7" t="s">
        <v>618</v>
      </c>
      <c r="D591" s="76">
        <v>42551</v>
      </c>
      <c r="E591" s="7" t="s">
        <v>1123</v>
      </c>
      <c r="G591" s="86" t="s">
        <v>1121</v>
      </c>
      <c r="H591" s="6"/>
    </row>
    <row r="592" spans="1:8" ht="16.5" thickBot="1" x14ac:dyDescent="0.25">
      <c r="A592" s="6" t="s">
        <v>144</v>
      </c>
      <c r="B592" s="6" t="s">
        <v>145</v>
      </c>
      <c r="C592" s="7" t="s">
        <v>382</v>
      </c>
      <c r="D592" s="76">
        <v>42551</v>
      </c>
      <c r="E592" s="7" t="s">
        <v>1125</v>
      </c>
      <c r="G592" s="86" t="s">
        <v>1121</v>
      </c>
      <c r="H592" s="6"/>
    </row>
    <row r="593" spans="1:8" ht="16.5" thickBot="1" x14ac:dyDescent="0.25">
      <c r="A593" s="5" t="s">
        <v>212</v>
      </c>
      <c r="B593" s="5" t="s">
        <v>7</v>
      </c>
      <c r="C593" s="11" t="s">
        <v>475</v>
      </c>
      <c r="D593" s="75">
        <v>42541</v>
      </c>
      <c r="E593" s="11" t="s">
        <v>1123</v>
      </c>
      <c r="G593" s="82" t="s">
        <v>1121</v>
      </c>
      <c r="H593" s="5"/>
    </row>
    <row r="594" spans="1:8" ht="17.100000000000001" customHeight="1" thickBot="1" x14ac:dyDescent="0.25">
      <c r="A594" s="5" t="s">
        <v>212</v>
      </c>
      <c r="B594" s="5" t="s">
        <v>7</v>
      </c>
      <c r="C594" s="11" t="s">
        <v>476</v>
      </c>
      <c r="D594" s="75">
        <v>42545</v>
      </c>
      <c r="E594" s="11" t="s">
        <v>1128</v>
      </c>
      <c r="G594" s="82" t="s">
        <v>1123</v>
      </c>
      <c r="H594" s="5"/>
    </row>
    <row r="595" spans="1:8" ht="17.100000000000001" customHeight="1" thickBot="1" x14ac:dyDescent="0.25">
      <c r="A595" s="5" t="s">
        <v>212</v>
      </c>
      <c r="B595" s="5" t="s">
        <v>7</v>
      </c>
      <c r="C595" s="11" t="s">
        <v>619</v>
      </c>
      <c r="D595" s="75">
        <v>42545</v>
      </c>
      <c r="E595" s="11" t="s">
        <v>1123</v>
      </c>
      <c r="G595" s="82" t="s">
        <v>1123</v>
      </c>
      <c r="H595" s="5"/>
    </row>
    <row r="596" spans="1:8" s="2" customFormat="1" ht="17.100000000000001" customHeight="1" thickBot="1" x14ac:dyDescent="0.25">
      <c r="A596" s="5" t="s">
        <v>212</v>
      </c>
      <c r="B596" s="5" t="s">
        <v>215</v>
      </c>
      <c r="C596" s="11" t="s">
        <v>477</v>
      </c>
      <c r="D596" s="75">
        <v>42541</v>
      </c>
      <c r="E596" s="11" t="s">
        <v>1123</v>
      </c>
      <c r="F596" s="1"/>
      <c r="G596" s="82" t="s">
        <v>1123</v>
      </c>
      <c r="H596" s="5"/>
    </row>
    <row r="597" spans="1:8" ht="17.100000000000001" customHeight="1" thickBot="1" x14ac:dyDescent="0.25">
      <c r="A597" s="5" t="s">
        <v>212</v>
      </c>
      <c r="B597" s="5" t="s">
        <v>213</v>
      </c>
      <c r="C597" s="11" t="s">
        <v>479</v>
      </c>
      <c r="D597" s="75">
        <v>42541</v>
      </c>
      <c r="E597" s="11" t="s">
        <v>1123</v>
      </c>
      <c r="G597" s="82" t="s">
        <v>1123</v>
      </c>
      <c r="H597" s="5"/>
    </row>
    <row r="598" spans="1:8" ht="17.100000000000001" customHeight="1" thickBot="1" x14ac:dyDescent="0.25">
      <c r="A598" s="5" t="s">
        <v>212</v>
      </c>
      <c r="B598" s="5" t="s">
        <v>213</v>
      </c>
      <c r="C598" s="11" t="s">
        <v>620</v>
      </c>
      <c r="D598" s="75">
        <v>42541</v>
      </c>
      <c r="E598" s="11" t="s">
        <v>1123</v>
      </c>
      <c r="G598" s="82" t="s">
        <v>1123</v>
      </c>
      <c r="H598" s="5"/>
    </row>
    <row r="599" spans="1:8" ht="17.100000000000001" customHeight="1" thickBot="1" x14ac:dyDescent="0.25">
      <c r="A599" s="5" t="s">
        <v>212</v>
      </c>
      <c r="B599" s="5" t="s">
        <v>214</v>
      </c>
      <c r="C599" s="11" t="s">
        <v>480</v>
      </c>
      <c r="D599" s="75">
        <v>42541</v>
      </c>
      <c r="E599" s="11" t="s">
        <v>1123</v>
      </c>
      <c r="G599" s="82" t="s">
        <v>1123</v>
      </c>
      <c r="H599" s="5"/>
    </row>
    <row r="600" spans="1:8" ht="16.5" thickBot="1" x14ac:dyDescent="0.25">
      <c r="A600" s="5" t="s">
        <v>212</v>
      </c>
      <c r="B600" s="5" t="s">
        <v>493</v>
      </c>
      <c r="C600" s="11" t="s">
        <v>485</v>
      </c>
      <c r="D600" s="75">
        <v>42541</v>
      </c>
      <c r="E600" s="11" t="s">
        <v>1123</v>
      </c>
      <c r="G600" s="82" t="s">
        <v>1123</v>
      </c>
      <c r="H600" s="5"/>
    </row>
    <row r="601" spans="1:8" ht="15.75" x14ac:dyDescent="0.2">
      <c r="A601" s="9"/>
      <c r="B601" s="9"/>
      <c r="C601" s="10"/>
      <c r="D601" s="80"/>
      <c r="H601" s="9"/>
    </row>
    <row r="602" spans="1:8" ht="15.75" x14ac:dyDescent="0.2">
      <c r="E602" s="8"/>
    </row>
  </sheetData>
  <sortState ref="A3:G743">
    <sortCondition ref="A3:A743"/>
    <sortCondition ref="B3:B743"/>
    <sortCondition ref="C3:C743"/>
  </sortState>
  <mergeCells count="8">
    <mergeCell ref="H1:H2"/>
    <mergeCell ref="D541:G542"/>
    <mergeCell ref="B1:B2"/>
    <mergeCell ref="A1:A2"/>
    <mergeCell ref="E1:G1"/>
    <mergeCell ref="D1:D2"/>
    <mergeCell ref="C1:C2"/>
    <mergeCell ref="E179:G179"/>
  </mergeCells>
  <printOptions horizontalCentered="1"/>
  <pageMargins left="0.25" right="0.15812499999999999" top="0.21635416666666665" bottom="0.75" header="0.3" footer="0.3"/>
  <pageSetup paperSize="9" scale="56" fitToHeight="0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1"/>
  <sheetViews>
    <sheetView topLeftCell="A229" zoomScale="85" zoomScaleNormal="85" workbookViewId="0">
      <selection activeCell="E271" sqref="E271"/>
    </sheetView>
  </sheetViews>
  <sheetFormatPr defaultRowHeight="15.75" x14ac:dyDescent="0.25"/>
  <cols>
    <col min="1" max="1" width="44.7109375" style="3" bestFit="1" customWidth="1"/>
    <col min="2" max="2" width="16.28515625" style="3" bestFit="1" customWidth="1"/>
    <col min="3" max="3" width="11" style="3" customWidth="1"/>
    <col min="4" max="4" width="14.28515625" style="3" customWidth="1"/>
    <col min="5" max="5" width="22.28515625" style="3" customWidth="1"/>
    <col min="6" max="6" width="8.5703125" style="12" hidden="1" customWidth="1"/>
    <col min="7" max="8" width="22.42578125" style="12" hidden="1" customWidth="1"/>
    <col min="9" max="9" width="9.42578125" style="12" customWidth="1"/>
    <col min="10" max="16384" width="9.140625" style="12"/>
  </cols>
  <sheetData>
    <row r="1" spans="1:8" ht="25.5" customHeight="1" x14ac:dyDescent="0.25">
      <c r="A1" s="106" t="s">
        <v>859</v>
      </c>
      <c r="B1" s="106" t="s">
        <v>860</v>
      </c>
      <c r="C1" s="106" t="s">
        <v>494</v>
      </c>
      <c r="D1" s="106"/>
      <c r="E1" s="106"/>
      <c r="G1" s="12" t="s">
        <v>892</v>
      </c>
      <c r="H1" s="12" t="s">
        <v>937</v>
      </c>
    </row>
    <row r="2" spans="1:8" ht="24.75" customHeight="1" x14ac:dyDescent="0.25">
      <c r="A2" s="106"/>
      <c r="B2" s="106"/>
      <c r="C2" s="16" t="s">
        <v>1</v>
      </c>
      <c r="D2" s="16" t="s">
        <v>2</v>
      </c>
      <c r="E2" s="16" t="s">
        <v>3</v>
      </c>
    </row>
    <row r="3" spans="1:8" x14ac:dyDescent="0.25">
      <c r="A3" s="13" t="s">
        <v>621</v>
      </c>
      <c r="B3" s="14">
        <f>COUNTIF('KAPASİTE TABLOSU'!F:F,'İL-İLÇE BAZINDA KAPASİTE'!A3)</f>
        <v>0</v>
      </c>
      <c r="C3" s="14" t="e">
        <f>SUMIF('KAPASİTE TABLOSU'!$F:$F,'İL-İLÇE BAZINDA KAPASİTE'!$A3,'KAPASİTE TABLOSU'!#REF!)</f>
        <v>#REF!</v>
      </c>
      <c r="D3" s="14" t="e">
        <f>SUMIF('KAPASİTE TABLOSU'!$F:$F,'İL-İLÇE BAZINDA KAPASİTE'!$A3,'KAPASİTE TABLOSU'!#REF!)</f>
        <v>#REF!</v>
      </c>
      <c r="E3" s="14" t="e">
        <f>SUMIF('KAPASİTE TABLOSU'!$F:$F,'İL-İLÇE BAZINDA KAPASİTE'!$A3,'KAPASİTE TABLOSU'!#REF!)</f>
        <v>#REF!</v>
      </c>
      <c r="F3" s="12" t="str">
        <f>IF(G3=H3,"İL","İLÇE")</f>
        <v>İL</v>
      </c>
      <c r="G3" s="12" t="s">
        <v>4</v>
      </c>
      <c r="H3" s="3" t="s">
        <v>4</v>
      </c>
    </row>
    <row r="4" spans="1:8" x14ac:dyDescent="0.25">
      <c r="A4" s="13" t="s">
        <v>622</v>
      </c>
      <c r="B4" s="14">
        <f>COUNTIF('KAPASİTE TABLOSU'!F:F,'İL-İLÇE BAZINDA KAPASİTE'!A4)</f>
        <v>0</v>
      </c>
      <c r="C4" s="14" t="e">
        <f>SUMIF('KAPASİTE TABLOSU'!$F:$F,'İL-İLÇE BAZINDA KAPASİTE'!$A4,'KAPASİTE TABLOSU'!#REF!)</f>
        <v>#REF!</v>
      </c>
      <c r="D4" s="14" t="e">
        <f>SUMIF('KAPASİTE TABLOSU'!$F:$F,'İL-İLÇE BAZINDA KAPASİTE'!$A4,'KAPASİTE TABLOSU'!#REF!)</f>
        <v>#REF!</v>
      </c>
      <c r="E4" s="14" t="e">
        <f>SUMIF('KAPASİTE TABLOSU'!$F:$F,'İL-İLÇE BAZINDA KAPASİTE'!$A4,'KAPASİTE TABLOSU'!#REF!)</f>
        <v>#REF!</v>
      </c>
      <c r="F4" s="12" t="str">
        <f t="shared" ref="F4" si="0">IF(G4=H4,"İL","İLÇE")</f>
        <v>İLÇE</v>
      </c>
      <c r="G4" s="12" t="s">
        <v>4</v>
      </c>
      <c r="H4" s="3" t="s">
        <v>8</v>
      </c>
    </row>
    <row r="5" spans="1:8" x14ac:dyDescent="0.25">
      <c r="A5" s="13" t="s">
        <v>1109</v>
      </c>
      <c r="B5" s="14">
        <f>COUNTIF('KAPASİTE TABLOSU'!F:F,'İL-İLÇE BAZINDA KAPASİTE'!A5)</f>
        <v>0</v>
      </c>
      <c r="C5" s="14" t="e">
        <f>SUMIF('KAPASİTE TABLOSU'!$F:$F,'İL-İLÇE BAZINDA KAPASİTE'!$A5,'KAPASİTE TABLOSU'!#REF!)</f>
        <v>#REF!</v>
      </c>
      <c r="D5" s="14" t="e">
        <f>SUMIF('KAPASİTE TABLOSU'!$F:$F,'İL-İLÇE BAZINDA KAPASİTE'!$A5,'KAPASİTE TABLOSU'!#REF!)</f>
        <v>#REF!</v>
      </c>
      <c r="E5" s="14" t="e">
        <f>SUMIF('KAPASİTE TABLOSU'!$F:$F,'İL-İLÇE BAZINDA KAPASİTE'!$A5,'KAPASİTE TABLOSU'!#REF!)</f>
        <v>#REF!</v>
      </c>
      <c r="F5" s="12" t="str">
        <f t="shared" ref="F5:F70" si="1">IF(G5=H5,"İL","İLÇE")</f>
        <v>İLÇE</v>
      </c>
      <c r="G5" s="12" t="s">
        <v>4</v>
      </c>
      <c r="H5" s="3" t="s">
        <v>8</v>
      </c>
    </row>
    <row r="6" spans="1:8" x14ac:dyDescent="0.25">
      <c r="A6" s="13" t="s">
        <v>623</v>
      </c>
      <c r="B6" s="14">
        <f>COUNTIF('KAPASİTE TABLOSU'!F:F,'İL-İLÇE BAZINDA KAPASİTE'!A6)</f>
        <v>0</v>
      </c>
      <c r="C6" s="14" t="e">
        <f>SUMIF('KAPASİTE TABLOSU'!$F:$F,'İL-İLÇE BAZINDA KAPASİTE'!$A6,'KAPASİTE TABLOSU'!#REF!)</f>
        <v>#REF!</v>
      </c>
      <c r="D6" s="14" t="e">
        <f>SUMIF('KAPASİTE TABLOSU'!$F:$F,'İL-İLÇE BAZINDA KAPASİTE'!$A6,'KAPASİTE TABLOSU'!#REF!)</f>
        <v>#REF!</v>
      </c>
      <c r="E6" s="14" t="e">
        <f>SUMIF('KAPASİTE TABLOSU'!$F:$F,'İL-İLÇE BAZINDA KAPASİTE'!$A6,'KAPASİTE TABLOSU'!#REF!)</f>
        <v>#REF!</v>
      </c>
      <c r="F6" s="12" t="str">
        <f t="shared" si="1"/>
        <v>İL</v>
      </c>
      <c r="G6" s="12" t="s">
        <v>160</v>
      </c>
      <c r="H6" s="3" t="s">
        <v>160</v>
      </c>
    </row>
    <row r="7" spans="1:8" x14ac:dyDescent="0.25">
      <c r="A7" s="13" t="s">
        <v>624</v>
      </c>
      <c r="B7" s="14">
        <f>COUNTIF('KAPASİTE TABLOSU'!F:F,'İL-İLÇE BAZINDA KAPASİTE'!A7)</f>
        <v>0</v>
      </c>
      <c r="C7" s="14" t="e">
        <f>SUMIF('KAPASİTE TABLOSU'!$F:$F,'İL-İLÇE BAZINDA KAPASİTE'!$A7,'KAPASİTE TABLOSU'!#REF!)</f>
        <v>#REF!</v>
      </c>
      <c r="D7" s="14" t="e">
        <f>SUMIF('KAPASİTE TABLOSU'!$F:$F,'İL-İLÇE BAZINDA KAPASİTE'!$A7,'KAPASİTE TABLOSU'!#REF!)</f>
        <v>#REF!</v>
      </c>
      <c r="E7" s="14" t="e">
        <f>SUMIF('KAPASİTE TABLOSU'!$F:$F,'İL-İLÇE BAZINDA KAPASİTE'!$A7,'KAPASİTE TABLOSU'!#REF!)</f>
        <v>#REF!</v>
      </c>
      <c r="F7" s="12" t="str">
        <f t="shared" si="1"/>
        <v>İLÇE</v>
      </c>
      <c r="G7" s="12" t="s">
        <v>160</v>
      </c>
      <c r="H7" s="3" t="s">
        <v>161</v>
      </c>
    </row>
    <row r="8" spans="1:8" x14ac:dyDescent="0.25">
      <c r="A8" s="13" t="s">
        <v>625</v>
      </c>
      <c r="B8" s="14">
        <f>COUNTIF('KAPASİTE TABLOSU'!F:F,'İL-İLÇE BAZINDA KAPASİTE'!A8)</f>
        <v>0</v>
      </c>
      <c r="C8" s="14" t="e">
        <f>SUMIF('KAPASİTE TABLOSU'!$F:$F,'İL-İLÇE BAZINDA KAPASİTE'!$A8,'KAPASİTE TABLOSU'!#REF!)</f>
        <v>#REF!</v>
      </c>
      <c r="D8" s="14" t="e">
        <f>SUMIF('KAPASİTE TABLOSU'!$F:$F,'İL-İLÇE BAZINDA KAPASİTE'!$A8,'KAPASİTE TABLOSU'!#REF!)</f>
        <v>#REF!</v>
      </c>
      <c r="E8" s="14" t="e">
        <f>SUMIF('KAPASİTE TABLOSU'!$F:$F,'İL-İLÇE BAZINDA KAPASİTE'!$A8,'KAPASİTE TABLOSU'!#REF!)</f>
        <v>#REF!</v>
      </c>
      <c r="F8" s="12" t="str">
        <f t="shared" si="1"/>
        <v>İLÇE</v>
      </c>
      <c r="G8" s="12" t="s">
        <v>160</v>
      </c>
      <c r="H8" s="3" t="s">
        <v>162</v>
      </c>
    </row>
    <row r="9" spans="1:8" x14ac:dyDescent="0.25">
      <c r="A9" s="13" t="s">
        <v>626</v>
      </c>
      <c r="B9" s="14">
        <f>COUNTIF('KAPASİTE TABLOSU'!F:F,'İL-İLÇE BAZINDA KAPASİTE'!A9)</f>
        <v>0</v>
      </c>
      <c r="C9" s="14" t="e">
        <f>SUMIF('KAPASİTE TABLOSU'!$F:$F,'İL-İLÇE BAZINDA KAPASİTE'!$A9,'KAPASİTE TABLOSU'!#REF!)</f>
        <v>#REF!</v>
      </c>
      <c r="D9" s="14" t="e">
        <f>SUMIF('KAPASİTE TABLOSU'!$F:$F,'İL-İLÇE BAZINDA KAPASİTE'!$A9,'KAPASİTE TABLOSU'!#REF!)</f>
        <v>#REF!</v>
      </c>
      <c r="E9" s="14" t="e">
        <f>SUMIF('KAPASİTE TABLOSU'!$F:$F,'İL-İLÇE BAZINDA KAPASİTE'!$A9,'KAPASİTE TABLOSU'!#REF!)</f>
        <v>#REF!</v>
      </c>
      <c r="F9" s="12" t="str">
        <f t="shared" si="1"/>
        <v>İL</v>
      </c>
      <c r="G9" s="12" t="s">
        <v>549</v>
      </c>
      <c r="H9" s="3" t="s">
        <v>549</v>
      </c>
    </row>
    <row r="10" spans="1:8" x14ac:dyDescent="0.25">
      <c r="A10" s="13" t="s">
        <v>896</v>
      </c>
      <c r="B10" s="14">
        <f>COUNTIF('KAPASİTE TABLOSU'!F:F,'İL-İLÇE BAZINDA KAPASİTE'!A10)</f>
        <v>0</v>
      </c>
      <c r="C10" s="14" t="e">
        <f>SUMIF('KAPASİTE TABLOSU'!$F:$F,'İL-İLÇE BAZINDA KAPASİTE'!$A10,'KAPASİTE TABLOSU'!#REF!)</f>
        <v>#REF!</v>
      </c>
      <c r="D10" s="14" t="e">
        <f>SUMIF('KAPASİTE TABLOSU'!$F:$F,'İL-İLÇE BAZINDA KAPASİTE'!$A10,'KAPASİTE TABLOSU'!#REF!)</f>
        <v>#REF!</v>
      </c>
      <c r="E10" s="14" t="e">
        <f>SUMIF('KAPASİTE TABLOSU'!$F:$F,'İL-İLÇE BAZINDA KAPASİTE'!$A10,'KAPASİTE TABLOSU'!#REF!)</f>
        <v>#REF!</v>
      </c>
      <c r="F10" s="12" t="str">
        <f t="shared" si="1"/>
        <v>İLÇE</v>
      </c>
      <c r="G10" s="12" t="s">
        <v>549</v>
      </c>
      <c r="H10" s="3" t="s">
        <v>895</v>
      </c>
    </row>
    <row r="11" spans="1:8" x14ac:dyDescent="0.25">
      <c r="A11" s="13" t="s">
        <v>627</v>
      </c>
      <c r="B11" s="14">
        <f>COUNTIF('KAPASİTE TABLOSU'!F:F,'İL-İLÇE BAZINDA KAPASİTE'!A11)</f>
        <v>0</v>
      </c>
      <c r="C11" s="14" t="e">
        <f>SUMIF('KAPASİTE TABLOSU'!$F:$F,'İL-İLÇE BAZINDA KAPASİTE'!$A11,'KAPASİTE TABLOSU'!#REF!)</f>
        <v>#REF!</v>
      </c>
      <c r="D11" s="14" t="e">
        <f>SUMIF('KAPASİTE TABLOSU'!$F:$F,'İL-İLÇE BAZINDA KAPASİTE'!$A11,'KAPASİTE TABLOSU'!#REF!)</f>
        <v>#REF!</v>
      </c>
      <c r="E11" s="14" t="e">
        <f>SUMIF('KAPASİTE TABLOSU'!$F:$F,'İL-İLÇE BAZINDA KAPASİTE'!$A11,'KAPASİTE TABLOSU'!#REF!)</f>
        <v>#REF!</v>
      </c>
      <c r="F11" s="12" t="str">
        <f t="shared" si="1"/>
        <v>İLÇE</v>
      </c>
      <c r="G11" s="12" t="s">
        <v>549</v>
      </c>
      <c r="H11" s="3" t="s">
        <v>104</v>
      </c>
    </row>
    <row r="12" spans="1:8" x14ac:dyDescent="0.25">
      <c r="A12" s="13" t="s">
        <v>628</v>
      </c>
      <c r="B12" s="14">
        <f>COUNTIF('KAPASİTE TABLOSU'!F:F,'İL-İLÇE BAZINDA KAPASİTE'!A12)</f>
        <v>0</v>
      </c>
      <c r="C12" s="14" t="e">
        <f>SUMIF('KAPASİTE TABLOSU'!$F:$F,'İL-İLÇE BAZINDA KAPASİTE'!$A12,'KAPASİTE TABLOSU'!#REF!)</f>
        <v>#REF!</v>
      </c>
      <c r="D12" s="14" t="e">
        <f>SUMIF('KAPASİTE TABLOSU'!$F:$F,'İL-İLÇE BAZINDA KAPASİTE'!$A12,'KAPASİTE TABLOSU'!#REF!)</f>
        <v>#REF!</v>
      </c>
      <c r="E12" s="14" t="e">
        <f>SUMIF('KAPASİTE TABLOSU'!$F:$F,'İL-İLÇE BAZINDA KAPASİTE'!$A12,'KAPASİTE TABLOSU'!#REF!)</f>
        <v>#REF!</v>
      </c>
      <c r="F12" s="12" t="str">
        <f t="shared" si="1"/>
        <v>İLÇE</v>
      </c>
      <c r="G12" s="12" t="s">
        <v>549</v>
      </c>
      <c r="H12" s="3" t="s">
        <v>105</v>
      </c>
    </row>
    <row r="13" spans="1:8" x14ac:dyDescent="0.25">
      <c r="A13" s="13" t="s">
        <v>629</v>
      </c>
      <c r="B13" s="14">
        <f>COUNTIF('KAPASİTE TABLOSU'!F:F,'İL-İLÇE BAZINDA KAPASİTE'!A13)</f>
        <v>0</v>
      </c>
      <c r="C13" s="14" t="e">
        <f>SUMIF('KAPASİTE TABLOSU'!$F:$F,'İL-İLÇE BAZINDA KAPASİTE'!$A13,'KAPASİTE TABLOSU'!#REF!)</f>
        <v>#REF!</v>
      </c>
      <c r="D13" s="14" t="e">
        <f>SUMIF('KAPASİTE TABLOSU'!$F:$F,'İL-İLÇE BAZINDA KAPASİTE'!$A13,'KAPASİTE TABLOSU'!#REF!)</f>
        <v>#REF!</v>
      </c>
      <c r="E13" s="14" t="e">
        <f>SUMIF('KAPASİTE TABLOSU'!$F:$F,'İL-İLÇE BAZINDA KAPASİTE'!$A13,'KAPASİTE TABLOSU'!#REF!)</f>
        <v>#REF!</v>
      </c>
      <c r="F13" s="12" t="str">
        <f t="shared" si="1"/>
        <v>İLÇE</v>
      </c>
      <c r="G13" s="12" t="s">
        <v>549</v>
      </c>
      <c r="H13" s="3" t="s">
        <v>106</v>
      </c>
    </row>
    <row r="14" spans="1:8" x14ac:dyDescent="0.25">
      <c r="A14" s="13" t="s">
        <v>630</v>
      </c>
      <c r="B14" s="14">
        <f>COUNTIF('KAPASİTE TABLOSU'!F:F,'İL-İLÇE BAZINDA KAPASİTE'!A14)</f>
        <v>0</v>
      </c>
      <c r="C14" s="14" t="e">
        <f>SUMIF('KAPASİTE TABLOSU'!$F:$F,'İL-İLÇE BAZINDA KAPASİTE'!$A14,'KAPASİTE TABLOSU'!#REF!)</f>
        <v>#REF!</v>
      </c>
      <c r="D14" s="14" t="e">
        <f>SUMIF('KAPASİTE TABLOSU'!$F:$F,'İL-İLÇE BAZINDA KAPASİTE'!$A14,'KAPASİTE TABLOSU'!#REF!)</f>
        <v>#REF!</v>
      </c>
      <c r="E14" s="14" t="e">
        <f>SUMIF('KAPASİTE TABLOSU'!$F:$F,'İL-İLÇE BAZINDA KAPASİTE'!$A14,'KAPASİTE TABLOSU'!#REF!)</f>
        <v>#REF!</v>
      </c>
      <c r="F14" s="12" t="str">
        <f t="shared" si="1"/>
        <v>İLÇE</v>
      </c>
      <c r="G14" s="12" t="s">
        <v>549</v>
      </c>
      <c r="H14" s="3" t="s">
        <v>520</v>
      </c>
    </row>
    <row r="15" spans="1:8" x14ac:dyDescent="0.25">
      <c r="A15" s="13" t="s">
        <v>631</v>
      </c>
      <c r="B15" s="14">
        <f>COUNTIF('KAPASİTE TABLOSU'!F:F,'İL-İLÇE BAZINDA KAPASİTE'!A15)</f>
        <v>0</v>
      </c>
      <c r="C15" s="14" t="e">
        <f>SUMIF('KAPASİTE TABLOSU'!$F:$F,'İL-İLÇE BAZINDA KAPASİTE'!$A15,'KAPASİTE TABLOSU'!#REF!)</f>
        <v>#REF!</v>
      </c>
      <c r="D15" s="14" t="e">
        <f>SUMIF('KAPASİTE TABLOSU'!$F:$F,'İL-İLÇE BAZINDA KAPASİTE'!$A15,'KAPASİTE TABLOSU'!#REF!)</f>
        <v>#REF!</v>
      </c>
      <c r="E15" s="14" t="e">
        <f>SUMIF('KAPASİTE TABLOSU'!$F:$F,'İL-İLÇE BAZINDA KAPASİTE'!$A15,'KAPASİTE TABLOSU'!#REF!)</f>
        <v>#REF!</v>
      </c>
      <c r="F15" s="12" t="str">
        <f t="shared" si="1"/>
        <v>İL</v>
      </c>
      <c r="G15" s="12" t="s">
        <v>92</v>
      </c>
      <c r="H15" s="3" t="s">
        <v>92</v>
      </c>
    </row>
    <row r="16" spans="1:8" x14ac:dyDescent="0.25">
      <c r="A16" s="13" t="s">
        <v>632</v>
      </c>
      <c r="B16" s="14">
        <f>COUNTIF('KAPASİTE TABLOSU'!F:F,'İL-İLÇE BAZINDA KAPASİTE'!A16)</f>
        <v>0</v>
      </c>
      <c r="C16" s="14" t="e">
        <f>SUMIF('KAPASİTE TABLOSU'!$F:$F,'İL-İLÇE BAZINDA KAPASİTE'!$A16,'KAPASİTE TABLOSU'!#REF!)</f>
        <v>#REF!</v>
      </c>
      <c r="D16" s="14" t="e">
        <f>SUMIF('KAPASİTE TABLOSU'!$F:$F,'İL-İLÇE BAZINDA KAPASİTE'!$A16,'KAPASİTE TABLOSU'!#REF!)</f>
        <v>#REF!</v>
      </c>
      <c r="E16" s="14" t="e">
        <f>SUMIF('KAPASİTE TABLOSU'!$F:$F,'İL-İLÇE BAZINDA KAPASİTE'!$A16,'KAPASİTE TABLOSU'!#REF!)</f>
        <v>#REF!</v>
      </c>
      <c r="F16" s="12" t="str">
        <f t="shared" si="1"/>
        <v>İL</v>
      </c>
      <c r="G16" s="12" t="s">
        <v>154</v>
      </c>
      <c r="H16" s="3" t="s">
        <v>154</v>
      </c>
    </row>
    <row r="17" spans="1:8" x14ac:dyDescent="0.25">
      <c r="A17" s="13" t="s">
        <v>633</v>
      </c>
      <c r="B17" s="14">
        <f>COUNTIF('KAPASİTE TABLOSU'!F:F,'İL-İLÇE BAZINDA KAPASİTE'!A17)</f>
        <v>0</v>
      </c>
      <c r="C17" s="14" t="e">
        <f>SUMIF('KAPASİTE TABLOSU'!$F:$F,'İL-İLÇE BAZINDA KAPASİTE'!$A17,'KAPASİTE TABLOSU'!#REF!)</f>
        <v>#REF!</v>
      </c>
      <c r="D17" s="14" t="e">
        <f>SUMIF('KAPASİTE TABLOSU'!$F:$F,'İL-İLÇE BAZINDA KAPASİTE'!$A17,'KAPASİTE TABLOSU'!#REF!)</f>
        <v>#REF!</v>
      </c>
      <c r="E17" s="14" t="e">
        <f>SUMIF('KAPASİTE TABLOSU'!$F:$F,'İL-İLÇE BAZINDA KAPASİTE'!$A17,'KAPASİTE TABLOSU'!#REF!)</f>
        <v>#REF!</v>
      </c>
      <c r="F17" s="12" t="str">
        <f t="shared" si="1"/>
        <v>İLÇE</v>
      </c>
      <c r="G17" s="12" t="s">
        <v>154</v>
      </c>
      <c r="H17" s="3" t="s">
        <v>155</v>
      </c>
    </row>
    <row r="18" spans="1:8" x14ac:dyDescent="0.25">
      <c r="A18" s="13" t="s">
        <v>634</v>
      </c>
      <c r="B18" s="14">
        <f>COUNTIF('KAPASİTE TABLOSU'!F:F,'İL-İLÇE BAZINDA KAPASİTE'!A18)</f>
        <v>0</v>
      </c>
      <c r="C18" s="14" t="e">
        <f>SUMIF('KAPASİTE TABLOSU'!$F:$F,'İL-İLÇE BAZINDA KAPASİTE'!$A18,'KAPASİTE TABLOSU'!#REF!)</f>
        <v>#REF!</v>
      </c>
      <c r="D18" s="14" t="e">
        <f>SUMIF('KAPASİTE TABLOSU'!$F:$F,'İL-İLÇE BAZINDA KAPASİTE'!$A18,'KAPASİTE TABLOSU'!#REF!)</f>
        <v>#REF!</v>
      </c>
      <c r="E18" s="14" t="e">
        <f>SUMIF('KAPASİTE TABLOSU'!$F:$F,'İL-İLÇE BAZINDA KAPASİTE'!$A18,'KAPASİTE TABLOSU'!#REF!)</f>
        <v>#REF!</v>
      </c>
      <c r="F18" s="12" t="str">
        <f t="shared" si="1"/>
        <v>İL</v>
      </c>
      <c r="G18" s="12" t="s">
        <v>169</v>
      </c>
      <c r="H18" s="3" t="s">
        <v>169</v>
      </c>
    </row>
    <row r="19" spans="1:8" x14ac:dyDescent="0.25">
      <c r="A19" s="13" t="s">
        <v>635</v>
      </c>
      <c r="B19" s="14">
        <f>COUNTIF('KAPASİTE TABLOSU'!F:F,'İL-İLÇE BAZINDA KAPASİTE'!A19)</f>
        <v>0</v>
      </c>
      <c r="C19" s="14" t="e">
        <f>SUMIF('KAPASİTE TABLOSU'!$F:$F,'İL-İLÇE BAZINDA KAPASİTE'!$A19,'KAPASİTE TABLOSU'!#REF!)</f>
        <v>#REF!</v>
      </c>
      <c r="D19" s="14" t="e">
        <f>SUMIF('KAPASİTE TABLOSU'!$F:$F,'İL-İLÇE BAZINDA KAPASİTE'!$A19,'KAPASİTE TABLOSU'!#REF!)</f>
        <v>#REF!</v>
      </c>
      <c r="E19" s="14" t="e">
        <f>SUMIF('KAPASİTE TABLOSU'!$F:$F,'İL-İLÇE BAZINDA KAPASİTE'!$A19,'KAPASİTE TABLOSU'!#REF!)</f>
        <v>#REF!</v>
      </c>
      <c r="F19" s="12" t="str">
        <f t="shared" si="1"/>
        <v>İLÇE</v>
      </c>
      <c r="G19" s="12" t="s">
        <v>169</v>
      </c>
      <c r="H19" s="3" t="s">
        <v>170</v>
      </c>
    </row>
    <row r="20" spans="1:8" x14ac:dyDescent="0.25">
      <c r="A20" s="13" t="s">
        <v>636</v>
      </c>
      <c r="B20" s="14">
        <f>COUNTIF('KAPASİTE TABLOSU'!F:F,'İL-İLÇE BAZINDA KAPASİTE'!A20)</f>
        <v>0</v>
      </c>
      <c r="C20" s="14" t="e">
        <f>SUMIF('KAPASİTE TABLOSU'!$F:$F,'İL-İLÇE BAZINDA KAPASİTE'!$A20,'KAPASİTE TABLOSU'!#REF!)</f>
        <v>#REF!</v>
      </c>
      <c r="D20" s="14" t="e">
        <f>SUMIF('KAPASİTE TABLOSU'!$F:$F,'İL-İLÇE BAZINDA KAPASİTE'!$A20,'KAPASİTE TABLOSU'!#REF!)</f>
        <v>#REF!</v>
      </c>
      <c r="E20" s="14" t="e">
        <f>SUMIF('KAPASİTE TABLOSU'!$F:$F,'İL-İLÇE BAZINDA KAPASİTE'!$A20,'KAPASİTE TABLOSU'!#REF!)</f>
        <v>#REF!</v>
      </c>
      <c r="F20" s="12" t="str">
        <f t="shared" si="1"/>
        <v>İL</v>
      </c>
      <c r="G20" s="12" t="s">
        <v>17</v>
      </c>
      <c r="H20" s="3" t="s">
        <v>17</v>
      </c>
    </row>
    <row r="21" spans="1:8" x14ac:dyDescent="0.25">
      <c r="A21" s="13" t="s">
        <v>637</v>
      </c>
      <c r="B21" s="14">
        <f>COUNTIF('KAPASİTE TABLOSU'!F:F,'İL-İLÇE BAZINDA KAPASİTE'!A21)</f>
        <v>0</v>
      </c>
      <c r="C21" s="14" t="e">
        <f>SUMIF('KAPASİTE TABLOSU'!$F:$F,'İL-İLÇE BAZINDA KAPASİTE'!$A21,'KAPASİTE TABLOSU'!#REF!)</f>
        <v>#REF!</v>
      </c>
      <c r="D21" s="14" t="e">
        <f>SUMIF('KAPASİTE TABLOSU'!$F:$F,'İL-İLÇE BAZINDA KAPASİTE'!$A21,'KAPASİTE TABLOSU'!#REF!)</f>
        <v>#REF!</v>
      </c>
      <c r="E21" s="14" t="e">
        <f>SUMIF('KAPASİTE TABLOSU'!$F:$F,'İL-İLÇE BAZINDA KAPASİTE'!$A21,'KAPASİTE TABLOSU'!#REF!)</f>
        <v>#REF!</v>
      </c>
      <c r="F21" s="12" t="str">
        <f t="shared" si="1"/>
        <v>İLÇE</v>
      </c>
      <c r="G21" s="12" t="s">
        <v>17</v>
      </c>
      <c r="H21" s="3" t="s">
        <v>18</v>
      </c>
    </row>
    <row r="22" spans="1:8" x14ac:dyDescent="0.25">
      <c r="A22" s="13" t="s">
        <v>638</v>
      </c>
      <c r="B22" s="14">
        <f>COUNTIF('KAPASİTE TABLOSU'!F:F,'İL-İLÇE BAZINDA KAPASİTE'!A22)</f>
        <v>0</v>
      </c>
      <c r="C22" s="14" t="e">
        <f>SUMIF('KAPASİTE TABLOSU'!$F:$F,'İL-İLÇE BAZINDA KAPASİTE'!$A22,'KAPASİTE TABLOSU'!#REF!)</f>
        <v>#REF!</v>
      </c>
      <c r="D22" s="14" t="e">
        <f>SUMIF('KAPASİTE TABLOSU'!$F:$F,'İL-İLÇE BAZINDA KAPASİTE'!$A22,'KAPASİTE TABLOSU'!#REF!)</f>
        <v>#REF!</v>
      </c>
      <c r="E22" s="14" t="e">
        <f>SUMIF('KAPASİTE TABLOSU'!$F:$F,'İL-İLÇE BAZINDA KAPASİTE'!$A22,'KAPASİTE TABLOSU'!#REF!)</f>
        <v>#REF!</v>
      </c>
      <c r="F22" s="12" t="str">
        <f t="shared" si="1"/>
        <v>İLÇE</v>
      </c>
      <c r="G22" s="12" t="s">
        <v>17</v>
      </c>
      <c r="H22" s="3" t="s">
        <v>19</v>
      </c>
    </row>
    <row r="23" spans="1:8" x14ac:dyDescent="0.25">
      <c r="A23" s="13" t="s">
        <v>639</v>
      </c>
      <c r="B23" s="14">
        <f>COUNTIF('KAPASİTE TABLOSU'!F:F,'İL-İLÇE BAZINDA KAPASİTE'!A23)</f>
        <v>0</v>
      </c>
      <c r="C23" s="14" t="e">
        <f>SUMIF('KAPASİTE TABLOSU'!$F:$F,'İL-İLÇE BAZINDA KAPASİTE'!$A23,'KAPASİTE TABLOSU'!#REF!)</f>
        <v>#REF!</v>
      </c>
      <c r="D23" s="14" t="e">
        <f>SUMIF('KAPASİTE TABLOSU'!$F:$F,'İL-İLÇE BAZINDA KAPASİTE'!$A23,'KAPASİTE TABLOSU'!#REF!)</f>
        <v>#REF!</v>
      </c>
      <c r="E23" s="14" t="e">
        <f>SUMIF('KAPASİTE TABLOSU'!$F:$F,'İL-İLÇE BAZINDA KAPASİTE'!$A23,'KAPASİTE TABLOSU'!#REF!)</f>
        <v>#REF!</v>
      </c>
      <c r="F23" s="12" t="str">
        <f t="shared" si="1"/>
        <v>İLÇE</v>
      </c>
      <c r="G23" s="12" t="s">
        <v>17</v>
      </c>
      <c r="H23" s="3" t="s">
        <v>20</v>
      </c>
    </row>
    <row r="24" spans="1:8" x14ac:dyDescent="0.25">
      <c r="A24" s="13" t="s">
        <v>640</v>
      </c>
      <c r="B24" s="14">
        <f>COUNTIF('KAPASİTE TABLOSU'!F:F,'İL-İLÇE BAZINDA KAPASİTE'!A24)</f>
        <v>0</v>
      </c>
      <c r="C24" s="14" t="e">
        <f>SUMIF('KAPASİTE TABLOSU'!$F:$F,'İL-İLÇE BAZINDA KAPASİTE'!$A24,'KAPASİTE TABLOSU'!#REF!)</f>
        <v>#REF!</v>
      </c>
      <c r="D24" s="14" t="e">
        <f>SUMIF('KAPASİTE TABLOSU'!$F:$F,'İL-İLÇE BAZINDA KAPASİTE'!$A24,'KAPASİTE TABLOSU'!#REF!)</f>
        <v>#REF!</v>
      </c>
      <c r="E24" s="14" t="e">
        <f>SUMIF('KAPASİTE TABLOSU'!$F:$F,'İL-İLÇE BAZINDA KAPASİTE'!$A24,'KAPASİTE TABLOSU'!#REF!)</f>
        <v>#REF!</v>
      </c>
      <c r="F24" s="12" t="str">
        <f t="shared" ref="F24" si="2">IF(G24=H24,"İL","İLÇE")</f>
        <v>İLÇE</v>
      </c>
      <c r="G24" s="12" t="s">
        <v>17</v>
      </c>
      <c r="H24" s="3" t="s">
        <v>551</v>
      </c>
    </row>
    <row r="25" spans="1:8" x14ac:dyDescent="0.25">
      <c r="A25" s="13" t="s">
        <v>940</v>
      </c>
      <c r="B25" s="14">
        <f>COUNTIF('KAPASİTE TABLOSU'!F:F,'İL-İLÇE BAZINDA KAPASİTE'!A25)</f>
        <v>0</v>
      </c>
      <c r="C25" s="14" t="e">
        <f>SUMIF('KAPASİTE TABLOSU'!$F:$F,'İL-İLÇE BAZINDA KAPASİTE'!$A25,'KAPASİTE TABLOSU'!#REF!)</f>
        <v>#REF!</v>
      </c>
      <c r="D25" s="14" t="e">
        <f>SUMIF('KAPASİTE TABLOSU'!$F:$F,'İL-İLÇE BAZINDA KAPASİTE'!$A25,'KAPASİTE TABLOSU'!#REF!)</f>
        <v>#REF!</v>
      </c>
      <c r="E25" s="14" t="e">
        <f>SUMIF('KAPASİTE TABLOSU'!$F:$F,'İL-İLÇE BAZINDA KAPASİTE'!$A25,'KAPASİTE TABLOSU'!#REF!)</f>
        <v>#REF!</v>
      </c>
      <c r="F25" s="12" t="str">
        <f t="shared" si="1"/>
        <v>İLÇE</v>
      </c>
      <c r="G25" s="12" t="s">
        <v>17</v>
      </c>
      <c r="H25" s="3" t="s">
        <v>938</v>
      </c>
    </row>
    <row r="26" spans="1:8" x14ac:dyDescent="0.25">
      <c r="A26" s="13" t="s">
        <v>641</v>
      </c>
      <c r="B26" s="14">
        <f>COUNTIF('KAPASİTE TABLOSU'!F:F,'İL-İLÇE BAZINDA KAPASİTE'!A26)</f>
        <v>0</v>
      </c>
      <c r="C26" s="14" t="e">
        <f>SUMIF('KAPASİTE TABLOSU'!$F:$F,'İL-İLÇE BAZINDA KAPASİTE'!$A26,'KAPASİTE TABLOSU'!#REF!)</f>
        <v>#REF!</v>
      </c>
      <c r="D26" s="14" t="e">
        <f>SUMIF('KAPASİTE TABLOSU'!$F:$F,'İL-İLÇE BAZINDA KAPASİTE'!$A26,'KAPASİTE TABLOSU'!#REF!)</f>
        <v>#REF!</v>
      </c>
      <c r="E26" s="14" t="e">
        <f>SUMIF('KAPASİTE TABLOSU'!$F:$F,'İL-İLÇE BAZINDA KAPASİTE'!$A26,'KAPASİTE TABLOSU'!#REF!)</f>
        <v>#REF!</v>
      </c>
      <c r="F26" s="12" t="str">
        <f t="shared" si="1"/>
        <v>İL</v>
      </c>
      <c r="G26" s="12" t="s">
        <v>25</v>
      </c>
      <c r="H26" s="3" t="s">
        <v>25</v>
      </c>
    </row>
    <row r="27" spans="1:8" x14ac:dyDescent="0.25">
      <c r="A27" s="13" t="s">
        <v>642</v>
      </c>
      <c r="B27" s="14">
        <f>COUNTIF('KAPASİTE TABLOSU'!F:F,'İL-İLÇE BAZINDA KAPASİTE'!A27)</f>
        <v>0</v>
      </c>
      <c r="C27" s="14" t="e">
        <f>SUMIF('KAPASİTE TABLOSU'!$F:$F,'İL-İLÇE BAZINDA KAPASİTE'!$A27,'KAPASİTE TABLOSU'!#REF!)</f>
        <v>#REF!</v>
      </c>
      <c r="D27" s="14" t="e">
        <f>SUMIF('KAPASİTE TABLOSU'!$F:$F,'İL-İLÇE BAZINDA KAPASİTE'!$A27,'KAPASİTE TABLOSU'!#REF!)</f>
        <v>#REF!</v>
      </c>
      <c r="E27" s="14" t="e">
        <f>SUMIF('KAPASİTE TABLOSU'!$F:$F,'İL-İLÇE BAZINDA KAPASİTE'!$A27,'KAPASİTE TABLOSU'!#REF!)</f>
        <v>#REF!</v>
      </c>
      <c r="F27" s="12" t="str">
        <f t="shared" si="1"/>
        <v>İLÇE</v>
      </c>
      <c r="G27" s="12" t="s">
        <v>25</v>
      </c>
      <c r="H27" s="3" t="s">
        <v>26</v>
      </c>
    </row>
    <row r="28" spans="1:8" x14ac:dyDescent="0.25">
      <c r="A28" s="13" t="s">
        <v>643</v>
      </c>
      <c r="B28" s="14">
        <f>COUNTIF('KAPASİTE TABLOSU'!F:F,'İL-İLÇE BAZINDA KAPASİTE'!A28)</f>
        <v>0</v>
      </c>
      <c r="C28" s="14" t="e">
        <f>SUMIF('KAPASİTE TABLOSU'!$F:$F,'İL-İLÇE BAZINDA KAPASİTE'!$A28,'KAPASİTE TABLOSU'!#REF!)</f>
        <v>#REF!</v>
      </c>
      <c r="D28" s="14" t="e">
        <f>SUMIF('KAPASİTE TABLOSU'!$F:$F,'İL-İLÇE BAZINDA KAPASİTE'!$A28,'KAPASİTE TABLOSU'!#REF!)</f>
        <v>#REF!</v>
      </c>
      <c r="E28" s="14" t="e">
        <f>SUMIF('KAPASİTE TABLOSU'!$F:$F,'İL-İLÇE BAZINDA KAPASİTE'!$A28,'KAPASİTE TABLOSU'!#REF!)</f>
        <v>#REF!</v>
      </c>
      <c r="F28" s="12" t="str">
        <f t="shared" si="1"/>
        <v>İLÇE</v>
      </c>
      <c r="G28" s="12" t="s">
        <v>25</v>
      </c>
      <c r="H28" s="3" t="s">
        <v>27</v>
      </c>
    </row>
    <row r="29" spans="1:8" x14ac:dyDescent="0.25">
      <c r="A29" s="13" t="s">
        <v>886</v>
      </c>
      <c r="B29" s="14">
        <f>COUNTIF('KAPASİTE TABLOSU'!F:F,'İL-İLÇE BAZINDA KAPASİTE'!A29)</f>
        <v>0</v>
      </c>
      <c r="C29" s="14" t="e">
        <f>SUMIF('KAPASİTE TABLOSU'!$F:$F,'İL-İLÇE BAZINDA KAPASİTE'!$A29,'KAPASİTE TABLOSU'!#REF!)</f>
        <v>#REF!</v>
      </c>
      <c r="D29" s="14" t="e">
        <f>SUMIF('KAPASİTE TABLOSU'!$F:$F,'İL-İLÇE BAZINDA KAPASİTE'!$A29,'KAPASİTE TABLOSU'!#REF!)</f>
        <v>#REF!</v>
      </c>
      <c r="E29" s="14" t="e">
        <f>SUMIF('KAPASİTE TABLOSU'!$F:$F,'İL-İLÇE BAZINDA KAPASİTE'!$A29,'KAPASİTE TABLOSU'!#REF!)</f>
        <v>#REF!</v>
      </c>
      <c r="F29" s="12" t="str">
        <f t="shared" si="1"/>
        <v>İLÇE</v>
      </c>
      <c r="G29" s="12" t="s">
        <v>25</v>
      </c>
      <c r="H29" s="3" t="s">
        <v>882</v>
      </c>
    </row>
    <row r="30" spans="1:8" x14ac:dyDescent="0.25">
      <c r="A30" s="13" t="s">
        <v>644</v>
      </c>
      <c r="B30" s="14">
        <f>COUNTIF('KAPASİTE TABLOSU'!F:F,'İL-İLÇE BAZINDA KAPASİTE'!A30)</f>
        <v>0</v>
      </c>
      <c r="C30" s="14" t="e">
        <f>SUMIF('KAPASİTE TABLOSU'!$F:$F,'İL-İLÇE BAZINDA KAPASİTE'!$A30,'KAPASİTE TABLOSU'!#REF!)</f>
        <v>#REF!</v>
      </c>
      <c r="D30" s="14" t="e">
        <f>SUMIF('KAPASİTE TABLOSU'!$F:$F,'İL-İLÇE BAZINDA KAPASİTE'!$A30,'KAPASİTE TABLOSU'!#REF!)</f>
        <v>#REF!</v>
      </c>
      <c r="E30" s="14" t="e">
        <f>SUMIF('KAPASİTE TABLOSU'!$F:$F,'İL-İLÇE BAZINDA KAPASİTE'!$A30,'KAPASİTE TABLOSU'!#REF!)</f>
        <v>#REF!</v>
      </c>
      <c r="F30" s="12" t="str">
        <f t="shared" si="1"/>
        <v>İL</v>
      </c>
      <c r="G30" s="12" t="s">
        <v>93</v>
      </c>
      <c r="H30" s="3" t="s">
        <v>93</v>
      </c>
    </row>
    <row r="31" spans="1:8" x14ac:dyDescent="0.25">
      <c r="A31" s="13" t="s">
        <v>645</v>
      </c>
      <c r="B31" s="14">
        <f>COUNTIF('KAPASİTE TABLOSU'!F:F,'İL-İLÇE BAZINDA KAPASİTE'!A31)</f>
        <v>0</v>
      </c>
      <c r="C31" s="14" t="e">
        <f>SUMIF('KAPASİTE TABLOSU'!$F:$F,'İL-İLÇE BAZINDA KAPASİTE'!$A31,'KAPASİTE TABLOSU'!#REF!)</f>
        <v>#REF!</v>
      </c>
      <c r="D31" s="14" t="e">
        <f>SUMIF('KAPASİTE TABLOSU'!$F:$F,'İL-İLÇE BAZINDA KAPASİTE'!$A31,'KAPASİTE TABLOSU'!#REF!)</f>
        <v>#REF!</v>
      </c>
      <c r="E31" s="14" t="e">
        <f>SUMIF('KAPASİTE TABLOSU'!$F:$F,'İL-İLÇE BAZINDA KAPASİTE'!$A31,'KAPASİTE TABLOSU'!#REF!)</f>
        <v>#REF!</v>
      </c>
      <c r="F31" s="12" t="str">
        <f t="shared" si="1"/>
        <v>İL</v>
      </c>
      <c r="G31" s="12" t="s">
        <v>185</v>
      </c>
      <c r="H31" s="3" t="s">
        <v>185</v>
      </c>
    </row>
    <row r="32" spans="1:8" x14ac:dyDescent="0.25">
      <c r="A32" s="13" t="s">
        <v>646</v>
      </c>
      <c r="B32" s="14">
        <f>COUNTIF('KAPASİTE TABLOSU'!F:F,'İL-İLÇE BAZINDA KAPASİTE'!A32)</f>
        <v>0</v>
      </c>
      <c r="C32" s="14" t="e">
        <f>SUMIF('KAPASİTE TABLOSU'!$F:$F,'İL-İLÇE BAZINDA KAPASİTE'!$A32,'KAPASİTE TABLOSU'!#REF!)</f>
        <v>#REF!</v>
      </c>
      <c r="D32" s="14" t="e">
        <f>SUMIF('KAPASİTE TABLOSU'!$F:$F,'İL-İLÇE BAZINDA KAPASİTE'!$A32,'KAPASİTE TABLOSU'!#REF!)</f>
        <v>#REF!</v>
      </c>
      <c r="E32" s="14" t="e">
        <f>SUMIF('KAPASİTE TABLOSU'!$F:$F,'İL-İLÇE BAZINDA KAPASİTE'!$A32,'KAPASİTE TABLOSU'!#REF!)</f>
        <v>#REF!</v>
      </c>
      <c r="F32" s="12" t="str">
        <f t="shared" si="1"/>
        <v>İLÇE</v>
      </c>
      <c r="G32" s="12" t="s">
        <v>185</v>
      </c>
      <c r="H32" s="3" t="s">
        <v>534</v>
      </c>
    </row>
    <row r="33" spans="1:8" x14ac:dyDescent="0.25">
      <c r="A33" s="13" t="s">
        <v>899</v>
      </c>
      <c r="B33" s="14">
        <f>COUNTIF('KAPASİTE TABLOSU'!F:F,'İL-İLÇE BAZINDA KAPASİTE'!A33)</f>
        <v>0</v>
      </c>
      <c r="C33" s="14" t="e">
        <f>SUMIF('KAPASİTE TABLOSU'!$F:$F,'İL-İLÇE BAZINDA KAPASİTE'!$A33,'KAPASİTE TABLOSU'!#REF!)</f>
        <v>#REF!</v>
      </c>
      <c r="D33" s="14" t="e">
        <f>SUMIF('KAPASİTE TABLOSU'!$F:$F,'İL-İLÇE BAZINDA KAPASİTE'!$A33,'KAPASİTE TABLOSU'!#REF!)</f>
        <v>#REF!</v>
      </c>
      <c r="E33" s="14" t="e">
        <f>SUMIF('KAPASİTE TABLOSU'!$F:$F,'İL-İLÇE BAZINDA KAPASİTE'!$A33,'KAPASİTE TABLOSU'!#REF!)</f>
        <v>#REF!</v>
      </c>
      <c r="F33" s="12" t="str">
        <f t="shared" si="1"/>
        <v>İLÇE</v>
      </c>
      <c r="G33" s="12" t="s">
        <v>185</v>
      </c>
      <c r="H33" s="3" t="s">
        <v>898</v>
      </c>
    </row>
    <row r="34" spans="1:8" x14ac:dyDescent="0.25">
      <c r="A34" s="13" t="s">
        <v>647</v>
      </c>
      <c r="B34" s="14">
        <f>COUNTIF('KAPASİTE TABLOSU'!F:F,'İL-İLÇE BAZINDA KAPASİTE'!A34)</f>
        <v>0</v>
      </c>
      <c r="C34" s="14" t="e">
        <f>SUMIF('KAPASİTE TABLOSU'!$F:$F,'İL-İLÇE BAZINDA KAPASİTE'!$A34,'KAPASİTE TABLOSU'!#REF!)</f>
        <v>#REF!</v>
      </c>
      <c r="D34" s="14" t="e">
        <f>SUMIF('KAPASİTE TABLOSU'!$F:$F,'İL-İLÇE BAZINDA KAPASİTE'!$A34,'KAPASİTE TABLOSU'!#REF!)</f>
        <v>#REF!</v>
      </c>
      <c r="E34" s="14" t="e">
        <f>SUMIF('KAPASİTE TABLOSU'!$F:$F,'İL-İLÇE BAZINDA KAPASİTE'!$A34,'KAPASİTE TABLOSU'!#REF!)</f>
        <v>#REF!</v>
      </c>
      <c r="F34" s="12" t="str">
        <f t="shared" si="1"/>
        <v>İL</v>
      </c>
      <c r="G34" s="12" t="s">
        <v>61</v>
      </c>
      <c r="H34" s="3" t="s">
        <v>61</v>
      </c>
    </row>
    <row r="35" spans="1:8" x14ac:dyDescent="0.25">
      <c r="A35" s="13" t="s">
        <v>648</v>
      </c>
      <c r="B35" s="14">
        <f>COUNTIF('KAPASİTE TABLOSU'!F:F,'İL-İLÇE BAZINDA KAPASİTE'!A35)</f>
        <v>0</v>
      </c>
      <c r="C35" s="14" t="e">
        <f>SUMIF('KAPASİTE TABLOSU'!$F:$F,'İL-İLÇE BAZINDA KAPASİTE'!$A35,'KAPASİTE TABLOSU'!#REF!)</f>
        <v>#REF!</v>
      </c>
      <c r="D35" s="14" t="e">
        <f>SUMIF('KAPASİTE TABLOSU'!$F:$F,'İL-İLÇE BAZINDA KAPASİTE'!$A35,'KAPASİTE TABLOSU'!#REF!)</f>
        <v>#REF!</v>
      </c>
      <c r="E35" s="14" t="e">
        <f>SUMIF('KAPASİTE TABLOSU'!$F:$F,'İL-İLÇE BAZINDA KAPASİTE'!$A35,'KAPASİTE TABLOSU'!#REF!)</f>
        <v>#REF!</v>
      </c>
      <c r="F35" s="12" t="str">
        <f t="shared" si="1"/>
        <v>İLÇE</v>
      </c>
      <c r="G35" s="12" t="s">
        <v>61</v>
      </c>
      <c r="H35" s="3" t="s">
        <v>63</v>
      </c>
    </row>
    <row r="36" spans="1:8" x14ac:dyDescent="0.25">
      <c r="A36" s="13" t="s">
        <v>649</v>
      </c>
      <c r="B36" s="14">
        <f>COUNTIF('KAPASİTE TABLOSU'!F:F,'İL-İLÇE BAZINDA KAPASİTE'!A36)</f>
        <v>0</v>
      </c>
      <c r="C36" s="14" t="e">
        <f>SUMIF('KAPASİTE TABLOSU'!$F:$F,'İL-İLÇE BAZINDA KAPASİTE'!$A36,'KAPASİTE TABLOSU'!#REF!)</f>
        <v>#REF!</v>
      </c>
      <c r="D36" s="14" t="e">
        <f>SUMIF('KAPASİTE TABLOSU'!$F:$F,'İL-İLÇE BAZINDA KAPASİTE'!$A36,'KAPASİTE TABLOSU'!#REF!)</f>
        <v>#REF!</v>
      </c>
      <c r="E36" s="14" t="e">
        <f>SUMIF('KAPASİTE TABLOSU'!$F:$F,'İL-İLÇE BAZINDA KAPASİTE'!$A36,'KAPASİTE TABLOSU'!#REF!)</f>
        <v>#REF!</v>
      </c>
      <c r="F36" s="12" t="str">
        <f t="shared" si="1"/>
        <v>İLÇE</v>
      </c>
      <c r="G36" s="12" t="s">
        <v>61</v>
      </c>
      <c r="H36" s="3" t="s">
        <v>64</v>
      </c>
    </row>
    <row r="37" spans="1:8" x14ac:dyDescent="0.25">
      <c r="A37" s="13" t="s">
        <v>650</v>
      </c>
      <c r="B37" s="14">
        <f>COUNTIF('KAPASİTE TABLOSU'!F:F,'İL-İLÇE BAZINDA KAPASİTE'!A37)</f>
        <v>0</v>
      </c>
      <c r="C37" s="14" t="e">
        <f>SUMIF('KAPASİTE TABLOSU'!$F:$F,'İL-İLÇE BAZINDA KAPASİTE'!$A37,'KAPASİTE TABLOSU'!#REF!)</f>
        <v>#REF!</v>
      </c>
      <c r="D37" s="14" t="e">
        <f>SUMIF('KAPASİTE TABLOSU'!$F:$F,'İL-İLÇE BAZINDA KAPASİTE'!$A37,'KAPASİTE TABLOSU'!#REF!)</f>
        <v>#REF!</v>
      </c>
      <c r="E37" s="14" t="e">
        <f>SUMIF('KAPASİTE TABLOSU'!$F:$F,'İL-İLÇE BAZINDA KAPASİTE'!$A37,'KAPASİTE TABLOSU'!#REF!)</f>
        <v>#REF!</v>
      </c>
      <c r="F37" s="12" t="str">
        <f t="shared" si="1"/>
        <v>İLÇE</v>
      </c>
      <c r="G37" s="12" t="s">
        <v>61</v>
      </c>
      <c r="H37" s="3" t="s">
        <v>65</v>
      </c>
    </row>
    <row r="38" spans="1:8" x14ac:dyDescent="0.25">
      <c r="A38" s="13" t="s">
        <v>651</v>
      </c>
      <c r="B38" s="14">
        <f>COUNTIF('KAPASİTE TABLOSU'!F:F,'İL-İLÇE BAZINDA KAPASİTE'!A38)</f>
        <v>0</v>
      </c>
      <c r="C38" s="14" t="e">
        <f>SUMIF('KAPASİTE TABLOSU'!$F:$F,'İL-İLÇE BAZINDA KAPASİTE'!$A38,'KAPASİTE TABLOSU'!#REF!)</f>
        <v>#REF!</v>
      </c>
      <c r="D38" s="14" t="e">
        <f>SUMIF('KAPASİTE TABLOSU'!$F:$F,'İL-İLÇE BAZINDA KAPASİTE'!$A38,'KAPASİTE TABLOSU'!#REF!)</f>
        <v>#REF!</v>
      </c>
      <c r="E38" s="14" t="e">
        <f>SUMIF('KAPASİTE TABLOSU'!$F:$F,'İL-İLÇE BAZINDA KAPASİTE'!$A38,'KAPASİTE TABLOSU'!#REF!)</f>
        <v>#REF!</v>
      </c>
      <c r="F38" s="12" t="str">
        <f t="shared" si="1"/>
        <v>İLÇE</v>
      </c>
      <c r="G38" s="12" t="s">
        <v>61</v>
      </c>
      <c r="H38" s="3" t="s">
        <v>66</v>
      </c>
    </row>
    <row r="39" spans="1:8" x14ac:dyDescent="0.25">
      <c r="A39" s="13" t="s">
        <v>652</v>
      </c>
      <c r="B39" s="14">
        <f>COUNTIF('KAPASİTE TABLOSU'!F:F,'İL-İLÇE BAZINDA KAPASİTE'!A39)</f>
        <v>0</v>
      </c>
      <c r="C39" s="14" t="e">
        <f>SUMIF('KAPASİTE TABLOSU'!$F:$F,'İL-İLÇE BAZINDA KAPASİTE'!$A39,'KAPASİTE TABLOSU'!#REF!)</f>
        <v>#REF!</v>
      </c>
      <c r="D39" s="14" t="e">
        <f>SUMIF('KAPASİTE TABLOSU'!$F:$F,'İL-İLÇE BAZINDA KAPASİTE'!$A39,'KAPASİTE TABLOSU'!#REF!)</f>
        <v>#REF!</v>
      </c>
      <c r="E39" s="14" t="e">
        <f>SUMIF('KAPASİTE TABLOSU'!$F:$F,'İL-İLÇE BAZINDA KAPASİTE'!$A39,'KAPASİTE TABLOSU'!#REF!)</f>
        <v>#REF!</v>
      </c>
      <c r="F39" s="12" t="str">
        <f t="shared" si="1"/>
        <v>İLÇE</v>
      </c>
      <c r="G39" s="12" t="s">
        <v>61</v>
      </c>
      <c r="H39" s="3" t="s">
        <v>62</v>
      </c>
    </row>
    <row r="40" spans="1:8" x14ac:dyDescent="0.25">
      <c r="A40" s="13" t="s">
        <v>653</v>
      </c>
      <c r="B40" s="14">
        <f>COUNTIF('KAPASİTE TABLOSU'!F:F,'İL-İLÇE BAZINDA KAPASİTE'!A40)</f>
        <v>0</v>
      </c>
      <c r="C40" s="14" t="e">
        <f>SUMIF('KAPASİTE TABLOSU'!$F:$F,'İL-İLÇE BAZINDA KAPASİTE'!$A40,'KAPASİTE TABLOSU'!#REF!)</f>
        <v>#REF!</v>
      </c>
      <c r="D40" s="14" t="e">
        <f>SUMIF('KAPASİTE TABLOSU'!$F:$F,'İL-İLÇE BAZINDA KAPASİTE'!$A40,'KAPASİTE TABLOSU'!#REF!)</f>
        <v>#REF!</v>
      </c>
      <c r="E40" s="14" t="e">
        <f>SUMIF('KAPASİTE TABLOSU'!$F:$F,'İL-İLÇE BAZINDA KAPASİTE'!$A40,'KAPASİTE TABLOSU'!#REF!)</f>
        <v>#REF!</v>
      </c>
      <c r="F40" s="12" t="str">
        <f t="shared" si="1"/>
        <v>İL</v>
      </c>
      <c r="G40" s="12" t="s">
        <v>48</v>
      </c>
      <c r="H40" s="3" t="s">
        <v>48</v>
      </c>
    </row>
    <row r="41" spans="1:8" x14ac:dyDescent="0.25">
      <c r="A41" s="13" t="s">
        <v>654</v>
      </c>
      <c r="B41" s="14">
        <f>COUNTIF('KAPASİTE TABLOSU'!F:F,'İL-İLÇE BAZINDA KAPASİTE'!A41)</f>
        <v>0</v>
      </c>
      <c r="C41" s="14" t="e">
        <f>SUMIF('KAPASİTE TABLOSU'!$F:$F,'İL-İLÇE BAZINDA KAPASİTE'!$A41,'KAPASİTE TABLOSU'!#REF!)</f>
        <v>#REF!</v>
      </c>
      <c r="D41" s="14" t="e">
        <f>SUMIF('KAPASİTE TABLOSU'!$F:$F,'İL-İLÇE BAZINDA KAPASİTE'!$A41,'KAPASİTE TABLOSU'!#REF!)</f>
        <v>#REF!</v>
      </c>
      <c r="E41" s="14" t="e">
        <f>SUMIF('KAPASİTE TABLOSU'!$F:$F,'İL-İLÇE BAZINDA KAPASİTE'!$A41,'KAPASİTE TABLOSU'!#REF!)</f>
        <v>#REF!</v>
      </c>
      <c r="F41" s="12" t="str">
        <f t="shared" si="1"/>
        <v>İLÇE</v>
      </c>
      <c r="G41" s="12" t="s">
        <v>48</v>
      </c>
      <c r="H41" s="3" t="s">
        <v>49</v>
      </c>
    </row>
    <row r="42" spans="1:8" x14ac:dyDescent="0.25">
      <c r="A42" s="13" t="s">
        <v>655</v>
      </c>
      <c r="B42" s="14">
        <f>COUNTIF('KAPASİTE TABLOSU'!F:F,'İL-İLÇE BAZINDA KAPASİTE'!A42)</f>
        <v>0</v>
      </c>
      <c r="C42" s="14" t="e">
        <f>SUMIF('KAPASİTE TABLOSU'!$F:$F,'İL-İLÇE BAZINDA KAPASİTE'!$A42,'KAPASİTE TABLOSU'!#REF!)</f>
        <v>#REF!</v>
      </c>
      <c r="D42" s="14" t="e">
        <f>SUMIF('KAPASİTE TABLOSU'!$F:$F,'İL-İLÇE BAZINDA KAPASİTE'!$A42,'KAPASİTE TABLOSU'!#REF!)</f>
        <v>#REF!</v>
      </c>
      <c r="E42" s="14" t="e">
        <f>SUMIF('KAPASİTE TABLOSU'!$F:$F,'İL-İLÇE BAZINDA KAPASİTE'!$A42,'KAPASİTE TABLOSU'!#REF!)</f>
        <v>#REF!</v>
      </c>
      <c r="F42" s="12" t="str">
        <f t="shared" si="1"/>
        <v>İLÇE</v>
      </c>
      <c r="G42" s="12" t="s">
        <v>48</v>
      </c>
      <c r="H42" s="3" t="s">
        <v>50</v>
      </c>
    </row>
    <row r="43" spans="1:8" x14ac:dyDescent="0.25">
      <c r="A43" s="13" t="s">
        <v>656</v>
      </c>
      <c r="B43" s="14">
        <f>COUNTIF('KAPASİTE TABLOSU'!F:F,'İL-İLÇE BAZINDA KAPASİTE'!A43)</f>
        <v>0</v>
      </c>
      <c r="C43" s="14" t="e">
        <f>SUMIF('KAPASİTE TABLOSU'!$F:$F,'İL-İLÇE BAZINDA KAPASİTE'!$A43,'KAPASİTE TABLOSU'!#REF!)</f>
        <v>#REF!</v>
      </c>
      <c r="D43" s="14" t="e">
        <f>SUMIF('KAPASİTE TABLOSU'!$F:$F,'İL-İLÇE BAZINDA KAPASİTE'!$A43,'KAPASİTE TABLOSU'!#REF!)</f>
        <v>#REF!</v>
      </c>
      <c r="E43" s="14" t="e">
        <f>SUMIF('KAPASİTE TABLOSU'!$F:$F,'İL-İLÇE BAZINDA KAPASİTE'!$A43,'KAPASİTE TABLOSU'!#REF!)</f>
        <v>#REF!</v>
      </c>
      <c r="F43" s="12" t="str">
        <f t="shared" si="1"/>
        <v>İLÇE</v>
      </c>
      <c r="G43" s="12" t="s">
        <v>48</v>
      </c>
      <c r="H43" s="3" t="s">
        <v>51</v>
      </c>
    </row>
    <row r="44" spans="1:8" x14ac:dyDescent="0.25">
      <c r="A44" s="13" t="s">
        <v>926</v>
      </c>
      <c r="B44" s="14">
        <f>COUNTIF('KAPASİTE TABLOSU'!F:F,'İL-İLÇE BAZINDA KAPASİTE'!A44)</f>
        <v>0</v>
      </c>
      <c r="C44" s="14" t="e">
        <f>SUMIF('KAPASİTE TABLOSU'!$F:$F,'İL-İLÇE BAZINDA KAPASİTE'!$A44,'KAPASİTE TABLOSU'!#REF!)</f>
        <v>#REF!</v>
      </c>
      <c r="D44" s="14" t="e">
        <f>SUMIF('KAPASİTE TABLOSU'!$F:$F,'İL-İLÇE BAZINDA KAPASİTE'!$A44,'KAPASİTE TABLOSU'!#REF!)</f>
        <v>#REF!</v>
      </c>
      <c r="E44" s="14" t="e">
        <f>SUMIF('KAPASİTE TABLOSU'!$F:$F,'İL-İLÇE BAZINDA KAPASİTE'!$A44,'KAPASİTE TABLOSU'!#REF!)</f>
        <v>#REF!</v>
      </c>
      <c r="F44" s="12" t="str">
        <f t="shared" si="1"/>
        <v>İLÇE</v>
      </c>
      <c r="G44" s="12" t="s">
        <v>48</v>
      </c>
      <c r="H44" s="3" t="s">
        <v>925</v>
      </c>
    </row>
    <row r="45" spans="1:8" x14ac:dyDescent="0.25">
      <c r="A45" s="13" t="s">
        <v>657</v>
      </c>
      <c r="B45" s="14">
        <f>COUNTIF('KAPASİTE TABLOSU'!F:F,'İL-İLÇE BAZINDA KAPASİTE'!A45)</f>
        <v>0</v>
      </c>
      <c r="C45" s="14" t="e">
        <f>SUMIF('KAPASİTE TABLOSU'!$F:$F,'İL-İLÇE BAZINDA KAPASİTE'!$A45,'KAPASİTE TABLOSU'!#REF!)</f>
        <v>#REF!</v>
      </c>
      <c r="D45" s="14" t="e">
        <f>SUMIF('KAPASİTE TABLOSU'!$F:$F,'İL-İLÇE BAZINDA KAPASİTE'!$A45,'KAPASİTE TABLOSU'!#REF!)</f>
        <v>#REF!</v>
      </c>
      <c r="E45" s="14" t="e">
        <f>SUMIF('KAPASİTE TABLOSU'!$F:$F,'İL-İLÇE BAZINDA KAPASİTE'!$A45,'KAPASİTE TABLOSU'!#REF!)</f>
        <v>#REF!</v>
      </c>
      <c r="F45" s="12" t="str">
        <f t="shared" si="1"/>
        <v>İL</v>
      </c>
      <c r="G45" s="12" t="s">
        <v>216</v>
      </c>
      <c r="H45" s="3" t="s">
        <v>216</v>
      </c>
    </row>
    <row r="46" spans="1:8" x14ac:dyDescent="0.25">
      <c r="A46" s="13" t="s">
        <v>658</v>
      </c>
      <c r="B46" s="14">
        <f>COUNTIF('KAPASİTE TABLOSU'!F:F,'İL-İLÇE BAZINDA KAPASİTE'!A46)</f>
        <v>0</v>
      </c>
      <c r="C46" s="14" t="e">
        <f>SUMIF('KAPASİTE TABLOSU'!$F:$F,'İL-İLÇE BAZINDA KAPASİTE'!$A46,'KAPASİTE TABLOSU'!#REF!)</f>
        <v>#REF!</v>
      </c>
      <c r="D46" s="14" t="e">
        <f>SUMIF('KAPASİTE TABLOSU'!$F:$F,'İL-İLÇE BAZINDA KAPASİTE'!$A46,'KAPASİTE TABLOSU'!#REF!)</f>
        <v>#REF!</v>
      </c>
      <c r="E46" s="14" t="e">
        <f>SUMIF('KAPASİTE TABLOSU'!$F:$F,'İL-İLÇE BAZINDA KAPASİTE'!$A46,'KAPASİTE TABLOSU'!#REF!)</f>
        <v>#REF!</v>
      </c>
      <c r="F46" s="12" t="str">
        <f t="shared" si="1"/>
        <v>İL</v>
      </c>
      <c r="G46" s="12" t="s">
        <v>72</v>
      </c>
      <c r="H46" s="3" t="s">
        <v>72</v>
      </c>
    </row>
    <row r="47" spans="1:8" x14ac:dyDescent="0.25">
      <c r="A47" s="13" t="s">
        <v>659</v>
      </c>
      <c r="B47" s="14">
        <f>COUNTIF('KAPASİTE TABLOSU'!F:F,'İL-İLÇE BAZINDA KAPASİTE'!A47)</f>
        <v>0</v>
      </c>
      <c r="C47" s="14" t="e">
        <f>SUMIF('KAPASİTE TABLOSU'!$F:$F,'İL-İLÇE BAZINDA KAPASİTE'!$A47,'KAPASİTE TABLOSU'!#REF!)</f>
        <v>#REF!</v>
      </c>
      <c r="D47" s="14" t="e">
        <f>SUMIF('KAPASİTE TABLOSU'!$F:$F,'İL-İLÇE BAZINDA KAPASİTE'!$A47,'KAPASİTE TABLOSU'!#REF!)</f>
        <v>#REF!</v>
      </c>
      <c r="E47" s="14" t="e">
        <f>SUMIF('KAPASİTE TABLOSU'!$F:$F,'İL-İLÇE BAZINDA KAPASİTE'!$A47,'KAPASİTE TABLOSU'!#REF!)</f>
        <v>#REF!</v>
      </c>
      <c r="F47" s="12" t="str">
        <f t="shared" si="1"/>
        <v>İL</v>
      </c>
      <c r="G47" s="12" t="s">
        <v>94</v>
      </c>
      <c r="H47" s="3" t="s">
        <v>94</v>
      </c>
    </row>
    <row r="48" spans="1:8" x14ac:dyDescent="0.25">
      <c r="A48" s="13" t="s">
        <v>660</v>
      </c>
      <c r="B48" s="14">
        <f>COUNTIF('KAPASİTE TABLOSU'!F:F,'İL-İLÇE BAZINDA KAPASİTE'!A48)</f>
        <v>0</v>
      </c>
      <c r="C48" s="14" t="e">
        <f>SUMIF('KAPASİTE TABLOSU'!$F:$F,'İL-İLÇE BAZINDA KAPASİTE'!$A48,'KAPASİTE TABLOSU'!#REF!)</f>
        <v>#REF!</v>
      </c>
      <c r="D48" s="14" t="e">
        <f>SUMIF('KAPASİTE TABLOSU'!$F:$F,'İL-İLÇE BAZINDA KAPASİTE'!$A48,'KAPASİTE TABLOSU'!#REF!)</f>
        <v>#REF!</v>
      </c>
      <c r="E48" s="14" t="e">
        <f>SUMIF('KAPASİTE TABLOSU'!$F:$F,'İL-İLÇE BAZINDA KAPASİTE'!$A48,'KAPASİTE TABLOSU'!#REF!)</f>
        <v>#REF!</v>
      </c>
      <c r="F48" s="12" t="str">
        <f t="shared" si="1"/>
        <v>İL</v>
      </c>
      <c r="G48" s="12" t="s">
        <v>107</v>
      </c>
      <c r="H48" s="3" t="s">
        <v>107</v>
      </c>
    </row>
    <row r="49" spans="1:8" x14ac:dyDescent="0.25">
      <c r="A49" s="13" t="s">
        <v>661</v>
      </c>
      <c r="B49" s="14">
        <f>COUNTIF('KAPASİTE TABLOSU'!F:F,'İL-İLÇE BAZINDA KAPASİTE'!A49)</f>
        <v>0</v>
      </c>
      <c r="C49" s="14" t="e">
        <f>SUMIF('KAPASİTE TABLOSU'!$F:$F,'İL-İLÇE BAZINDA KAPASİTE'!$A49,'KAPASİTE TABLOSU'!#REF!)</f>
        <v>#REF!</v>
      </c>
      <c r="D49" s="14" t="e">
        <f>SUMIF('KAPASİTE TABLOSU'!$F:$F,'İL-İLÇE BAZINDA KAPASİTE'!$A49,'KAPASİTE TABLOSU'!#REF!)</f>
        <v>#REF!</v>
      </c>
      <c r="E49" s="14" t="e">
        <f>SUMIF('KAPASİTE TABLOSU'!$F:$F,'İL-İLÇE BAZINDA KAPASİTE'!$A49,'KAPASİTE TABLOSU'!#REF!)</f>
        <v>#REF!</v>
      </c>
      <c r="F49" s="12" t="str">
        <f t="shared" si="1"/>
        <v>İLÇE</v>
      </c>
      <c r="G49" s="12" t="s">
        <v>107</v>
      </c>
      <c r="H49" s="3" t="s">
        <v>108</v>
      </c>
    </row>
    <row r="50" spans="1:8" x14ac:dyDescent="0.25">
      <c r="A50" s="13" t="s">
        <v>662</v>
      </c>
      <c r="B50" s="14">
        <f>COUNTIF('KAPASİTE TABLOSU'!F:F,'İL-İLÇE BAZINDA KAPASİTE'!A50)</f>
        <v>0</v>
      </c>
      <c r="C50" s="14" t="e">
        <f>SUMIF('KAPASİTE TABLOSU'!$F:$F,'İL-İLÇE BAZINDA KAPASİTE'!$A50,'KAPASİTE TABLOSU'!#REF!)</f>
        <v>#REF!</v>
      </c>
      <c r="D50" s="14" t="e">
        <f>SUMIF('KAPASİTE TABLOSU'!$F:$F,'İL-İLÇE BAZINDA KAPASİTE'!$A50,'KAPASİTE TABLOSU'!#REF!)</f>
        <v>#REF!</v>
      </c>
      <c r="E50" s="14" t="e">
        <f>SUMIF('KAPASİTE TABLOSU'!$F:$F,'İL-İLÇE BAZINDA KAPASİTE'!$A50,'KAPASİTE TABLOSU'!#REF!)</f>
        <v>#REF!</v>
      </c>
      <c r="F50" s="12" t="str">
        <f t="shared" si="1"/>
        <v>İL</v>
      </c>
      <c r="G50" s="12" t="s">
        <v>73</v>
      </c>
      <c r="H50" s="3" t="s">
        <v>73</v>
      </c>
    </row>
    <row r="51" spans="1:8" x14ac:dyDescent="0.25">
      <c r="A51" s="13" t="s">
        <v>663</v>
      </c>
      <c r="B51" s="14">
        <f>COUNTIF('KAPASİTE TABLOSU'!F:F,'İL-İLÇE BAZINDA KAPASİTE'!A51)</f>
        <v>0</v>
      </c>
      <c r="C51" s="14" t="e">
        <f>SUMIF('KAPASİTE TABLOSU'!$F:$F,'İL-İLÇE BAZINDA KAPASİTE'!$A51,'KAPASİTE TABLOSU'!#REF!)</f>
        <v>#REF!</v>
      </c>
      <c r="D51" s="14" t="e">
        <f>SUMIF('KAPASİTE TABLOSU'!$F:$F,'İL-İLÇE BAZINDA KAPASİTE'!$A51,'KAPASİTE TABLOSU'!#REF!)</f>
        <v>#REF!</v>
      </c>
      <c r="E51" s="14" t="e">
        <f>SUMIF('KAPASİTE TABLOSU'!$F:$F,'İL-İLÇE BAZINDA KAPASİTE'!$A51,'KAPASİTE TABLOSU'!#REF!)</f>
        <v>#REF!</v>
      </c>
      <c r="F51" s="12" t="str">
        <f t="shared" si="1"/>
        <v>İL</v>
      </c>
      <c r="G51" s="12" t="s">
        <v>204</v>
      </c>
      <c r="H51" s="3" t="s">
        <v>204</v>
      </c>
    </row>
    <row r="52" spans="1:8" x14ac:dyDescent="0.25">
      <c r="A52" s="13" t="s">
        <v>664</v>
      </c>
      <c r="B52" s="14">
        <f>COUNTIF('KAPASİTE TABLOSU'!F:F,'İL-İLÇE BAZINDA KAPASİTE'!A52)</f>
        <v>0</v>
      </c>
      <c r="C52" s="14" t="e">
        <f>SUMIF('KAPASİTE TABLOSU'!$F:$F,'İL-İLÇE BAZINDA KAPASİTE'!$A52,'KAPASİTE TABLOSU'!#REF!)</f>
        <v>#REF!</v>
      </c>
      <c r="D52" s="14" t="e">
        <f>SUMIF('KAPASİTE TABLOSU'!$F:$F,'İL-İLÇE BAZINDA KAPASİTE'!$A52,'KAPASİTE TABLOSU'!#REF!)</f>
        <v>#REF!</v>
      </c>
      <c r="E52" s="14" t="e">
        <f>SUMIF('KAPASİTE TABLOSU'!$F:$F,'İL-İLÇE BAZINDA KAPASİTE'!$A52,'KAPASİTE TABLOSU'!#REF!)</f>
        <v>#REF!</v>
      </c>
      <c r="F52" s="12" t="str">
        <f t="shared" si="1"/>
        <v>İLÇE</v>
      </c>
      <c r="G52" s="12" t="s">
        <v>204</v>
      </c>
      <c r="H52" s="3" t="s">
        <v>205</v>
      </c>
    </row>
    <row r="53" spans="1:8" x14ac:dyDescent="0.25">
      <c r="A53" s="13" t="s">
        <v>665</v>
      </c>
      <c r="B53" s="14">
        <f>COUNTIF('KAPASİTE TABLOSU'!F:F,'İL-İLÇE BAZINDA KAPASİTE'!A53)</f>
        <v>0</v>
      </c>
      <c r="C53" s="14" t="e">
        <f>SUMIF('KAPASİTE TABLOSU'!$F:$F,'İL-İLÇE BAZINDA KAPASİTE'!$A53,'KAPASİTE TABLOSU'!#REF!)</f>
        <v>#REF!</v>
      </c>
      <c r="D53" s="14" t="e">
        <f>SUMIF('KAPASİTE TABLOSU'!$F:$F,'İL-İLÇE BAZINDA KAPASİTE'!$A53,'KAPASİTE TABLOSU'!#REF!)</f>
        <v>#REF!</v>
      </c>
      <c r="E53" s="14" t="e">
        <f>SUMIF('KAPASİTE TABLOSU'!$F:$F,'İL-İLÇE BAZINDA KAPASİTE'!$A53,'KAPASİTE TABLOSU'!#REF!)</f>
        <v>#REF!</v>
      </c>
      <c r="F53" s="12" t="str">
        <f t="shared" si="1"/>
        <v>İLÇE</v>
      </c>
      <c r="G53" s="12" t="s">
        <v>204</v>
      </c>
      <c r="H53" s="3" t="s">
        <v>206</v>
      </c>
    </row>
    <row r="54" spans="1:8" x14ac:dyDescent="0.25">
      <c r="A54" s="13" t="s">
        <v>666</v>
      </c>
      <c r="B54" s="14">
        <f>COUNTIF('KAPASİTE TABLOSU'!F:F,'İL-İLÇE BAZINDA KAPASİTE'!A54)</f>
        <v>0</v>
      </c>
      <c r="C54" s="14" t="e">
        <f>SUMIF('KAPASİTE TABLOSU'!$F:$F,'İL-İLÇE BAZINDA KAPASİTE'!$A54,'KAPASİTE TABLOSU'!#REF!)</f>
        <v>#REF!</v>
      </c>
      <c r="D54" s="14" t="e">
        <f>SUMIF('KAPASİTE TABLOSU'!$F:$F,'İL-İLÇE BAZINDA KAPASİTE'!$A54,'KAPASİTE TABLOSU'!#REF!)</f>
        <v>#REF!</v>
      </c>
      <c r="E54" s="14" t="e">
        <f>SUMIF('KAPASİTE TABLOSU'!$F:$F,'İL-İLÇE BAZINDA KAPASİTE'!$A54,'KAPASİTE TABLOSU'!#REF!)</f>
        <v>#REF!</v>
      </c>
      <c r="F54" s="12" t="str">
        <f t="shared" si="1"/>
        <v>İLÇE</v>
      </c>
      <c r="G54" s="12" t="s">
        <v>204</v>
      </c>
      <c r="H54" s="3" t="s">
        <v>207</v>
      </c>
    </row>
    <row r="55" spans="1:8" x14ac:dyDescent="0.25">
      <c r="A55" s="13" t="s">
        <v>667</v>
      </c>
      <c r="B55" s="14">
        <f>COUNTIF('KAPASİTE TABLOSU'!F:F,'İL-İLÇE BAZINDA KAPASİTE'!A55)</f>
        <v>0</v>
      </c>
      <c r="C55" s="14" t="e">
        <f>SUMIF('KAPASİTE TABLOSU'!$F:$F,'İL-İLÇE BAZINDA KAPASİTE'!$A55,'KAPASİTE TABLOSU'!#REF!)</f>
        <v>#REF!</v>
      </c>
      <c r="D55" s="14" t="e">
        <f>SUMIF('KAPASİTE TABLOSU'!$F:$F,'İL-İLÇE BAZINDA KAPASİTE'!$A55,'KAPASİTE TABLOSU'!#REF!)</f>
        <v>#REF!</v>
      </c>
      <c r="E55" s="14" t="e">
        <f>SUMIF('KAPASİTE TABLOSU'!$F:$F,'İL-İLÇE BAZINDA KAPASİTE'!$A55,'KAPASİTE TABLOSU'!#REF!)</f>
        <v>#REF!</v>
      </c>
      <c r="F55" s="12" t="str">
        <f t="shared" si="1"/>
        <v>İL</v>
      </c>
      <c r="G55" s="12" t="s">
        <v>35</v>
      </c>
      <c r="H55" s="3" t="s">
        <v>35</v>
      </c>
    </row>
    <row r="56" spans="1:8" x14ac:dyDescent="0.25">
      <c r="A56" s="13" t="s">
        <v>668</v>
      </c>
      <c r="B56" s="14">
        <f>COUNTIF('KAPASİTE TABLOSU'!F:F,'İL-İLÇE BAZINDA KAPASİTE'!A56)</f>
        <v>0</v>
      </c>
      <c r="C56" s="14" t="e">
        <f>SUMIF('KAPASİTE TABLOSU'!$F:$F,'İL-İLÇE BAZINDA KAPASİTE'!$A56,'KAPASİTE TABLOSU'!#REF!)</f>
        <v>#REF!</v>
      </c>
      <c r="D56" s="14" t="e">
        <f>SUMIF('KAPASİTE TABLOSU'!$F:$F,'İL-İLÇE BAZINDA KAPASİTE'!$A56,'KAPASİTE TABLOSU'!#REF!)</f>
        <v>#REF!</v>
      </c>
      <c r="E56" s="14" t="e">
        <f>SUMIF('KAPASİTE TABLOSU'!$F:$F,'İL-İLÇE BAZINDA KAPASİTE'!$A56,'KAPASİTE TABLOSU'!#REF!)</f>
        <v>#REF!</v>
      </c>
      <c r="F56" s="12" t="str">
        <f t="shared" si="1"/>
        <v>İLÇE</v>
      </c>
      <c r="G56" s="12" t="s">
        <v>35</v>
      </c>
      <c r="H56" s="3" t="s">
        <v>36</v>
      </c>
    </row>
    <row r="57" spans="1:8" x14ac:dyDescent="0.25">
      <c r="A57" s="13" t="s">
        <v>669</v>
      </c>
      <c r="B57" s="14">
        <f>COUNTIF('KAPASİTE TABLOSU'!F:F,'İL-İLÇE BAZINDA KAPASİTE'!A57)</f>
        <v>0</v>
      </c>
      <c r="C57" s="14" t="e">
        <f>SUMIF('KAPASİTE TABLOSU'!$F:$F,'İL-İLÇE BAZINDA KAPASİTE'!$A57,'KAPASİTE TABLOSU'!#REF!)</f>
        <v>#REF!</v>
      </c>
      <c r="D57" s="14" t="e">
        <f>SUMIF('KAPASİTE TABLOSU'!$F:$F,'İL-İLÇE BAZINDA KAPASİTE'!$A57,'KAPASİTE TABLOSU'!#REF!)</f>
        <v>#REF!</v>
      </c>
      <c r="E57" s="14" t="e">
        <f>SUMIF('KAPASİTE TABLOSU'!$F:$F,'İL-İLÇE BAZINDA KAPASİTE'!$A57,'KAPASİTE TABLOSU'!#REF!)</f>
        <v>#REF!</v>
      </c>
      <c r="F57" s="12" t="str">
        <f t="shared" ref="F57" si="3">IF(G57=H57,"İL","İLÇE")</f>
        <v>İLÇE</v>
      </c>
      <c r="G57" s="12" t="s">
        <v>35</v>
      </c>
      <c r="H57" s="3" t="s">
        <v>37</v>
      </c>
    </row>
    <row r="58" spans="1:8" x14ac:dyDescent="0.25">
      <c r="A58" s="13" t="s">
        <v>1107</v>
      </c>
      <c r="B58" s="14">
        <f>COUNTIF('KAPASİTE TABLOSU'!F:F,'İL-İLÇE BAZINDA KAPASİTE'!A58)</f>
        <v>0</v>
      </c>
      <c r="C58" s="14" t="e">
        <f>SUMIF('KAPASİTE TABLOSU'!$F:$F,'İL-İLÇE BAZINDA KAPASİTE'!$A58,'KAPASİTE TABLOSU'!#REF!)</f>
        <v>#REF!</v>
      </c>
      <c r="D58" s="14" t="e">
        <f>SUMIF('KAPASİTE TABLOSU'!$F:$F,'İL-İLÇE BAZINDA KAPASİTE'!$A58,'KAPASİTE TABLOSU'!#REF!)</f>
        <v>#REF!</v>
      </c>
      <c r="E58" s="14" t="e">
        <f>SUMIF('KAPASİTE TABLOSU'!$F:$F,'İL-İLÇE BAZINDA KAPASİTE'!$A58,'KAPASİTE TABLOSU'!#REF!)</f>
        <v>#REF!</v>
      </c>
      <c r="F58" s="12" t="str">
        <f t="shared" si="1"/>
        <v>İLÇE</v>
      </c>
      <c r="G58" s="12" t="s">
        <v>35</v>
      </c>
      <c r="H58" s="3" t="s">
        <v>37</v>
      </c>
    </row>
    <row r="59" spans="1:8" x14ac:dyDescent="0.25">
      <c r="A59" s="13" t="s">
        <v>670</v>
      </c>
      <c r="B59" s="14">
        <f>COUNTIF('KAPASİTE TABLOSU'!F:F,'İL-İLÇE BAZINDA KAPASİTE'!A59)</f>
        <v>0</v>
      </c>
      <c r="C59" s="14" t="e">
        <f>SUMIF('KAPASİTE TABLOSU'!$F:$F,'İL-İLÇE BAZINDA KAPASİTE'!$A59,'KAPASİTE TABLOSU'!#REF!)</f>
        <v>#REF!</v>
      </c>
      <c r="D59" s="14" t="e">
        <f>SUMIF('KAPASİTE TABLOSU'!$F:$F,'İL-İLÇE BAZINDA KAPASİTE'!$A59,'KAPASİTE TABLOSU'!#REF!)</f>
        <v>#REF!</v>
      </c>
      <c r="E59" s="14" t="e">
        <f>SUMIF('KAPASİTE TABLOSU'!$F:$F,'İL-İLÇE BAZINDA KAPASİTE'!$A59,'KAPASİTE TABLOSU'!#REF!)</f>
        <v>#REF!</v>
      </c>
      <c r="F59" s="12" t="str">
        <f t="shared" si="1"/>
        <v>İL</v>
      </c>
      <c r="G59" s="12" t="s">
        <v>28</v>
      </c>
      <c r="H59" s="3" t="s">
        <v>28</v>
      </c>
    </row>
    <row r="60" spans="1:8" x14ac:dyDescent="0.25">
      <c r="A60" s="13" t="s">
        <v>671</v>
      </c>
      <c r="B60" s="14">
        <f>COUNTIF('KAPASİTE TABLOSU'!F:F,'İL-İLÇE BAZINDA KAPASİTE'!A60)</f>
        <v>0</v>
      </c>
      <c r="C60" s="14" t="e">
        <f>SUMIF('KAPASİTE TABLOSU'!$F:$F,'İL-İLÇE BAZINDA KAPASİTE'!$A60,'KAPASİTE TABLOSU'!#REF!)</f>
        <v>#REF!</v>
      </c>
      <c r="D60" s="14" t="e">
        <f>SUMIF('KAPASİTE TABLOSU'!$F:$F,'İL-İLÇE BAZINDA KAPASİTE'!$A60,'KAPASİTE TABLOSU'!#REF!)</f>
        <v>#REF!</v>
      </c>
      <c r="E60" s="14" t="e">
        <f>SUMIF('KAPASİTE TABLOSU'!$F:$F,'İL-İLÇE BAZINDA KAPASİTE'!$A60,'KAPASİTE TABLOSU'!#REF!)</f>
        <v>#REF!</v>
      </c>
      <c r="F60" s="12" t="str">
        <f t="shared" si="1"/>
        <v>İLÇE</v>
      </c>
      <c r="G60" s="12" t="s">
        <v>28</v>
      </c>
      <c r="H60" s="3" t="s">
        <v>29</v>
      </c>
    </row>
    <row r="61" spans="1:8" x14ac:dyDescent="0.25">
      <c r="A61" s="13" t="s">
        <v>672</v>
      </c>
      <c r="B61" s="14">
        <f>COUNTIF('KAPASİTE TABLOSU'!F:F,'İL-İLÇE BAZINDA KAPASİTE'!A61)</f>
        <v>0</v>
      </c>
      <c r="C61" s="14" t="e">
        <f>SUMIF('KAPASİTE TABLOSU'!$F:$F,'İL-İLÇE BAZINDA KAPASİTE'!$A61,'KAPASİTE TABLOSU'!#REF!)</f>
        <v>#REF!</v>
      </c>
      <c r="D61" s="14" t="e">
        <f>SUMIF('KAPASİTE TABLOSU'!$F:$F,'İL-İLÇE BAZINDA KAPASİTE'!$A61,'KAPASİTE TABLOSU'!#REF!)</f>
        <v>#REF!</v>
      </c>
      <c r="E61" s="14" t="e">
        <f>SUMIF('KAPASİTE TABLOSU'!$F:$F,'İL-İLÇE BAZINDA KAPASİTE'!$A61,'KAPASİTE TABLOSU'!#REF!)</f>
        <v>#REF!</v>
      </c>
      <c r="F61" s="12" t="str">
        <f t="shared" si="1"/>
        <v>İLÇE</v>
      </c>
      <c r="G61" s="12" t="s">
        <v>28</v>
      </c>
      <c r="H61" s="3" t="s">
        <v>519</v>
      </c>
    </row>
    <row r="62" spans="1:8" x14ac:dyDescent="0.25">
      <c r="A62" s="13" t="s">
        <v>673</v>
      </c>
      <c r="B62" s="14">
        <f>COUNTIF('KAPASİTE TABLOSU'!F:F,'İL-İLÇE BAZINDA KAPASİTE'!A62)</f>
        <v>0</v>
      </c>
      <c r="C62" s="14" t="e">
        <f>SUMIF('KAPASİTE TABLOSU'!$F:$F,'İL-İLÇE BAZINDA KAPASİTE'!$A62,'KAPASİTE TABLOSU'!#REF!)</f>
        <v>#REF!</v>
      </c>
      <c r="D62" s="14" t="e">
        <f>SUMIF('KAPASİTE TABLOSU'!$F:$F,'İL-İLÇE BAZINDA KAPASİTE'!$A62,'KAPASİTE TABLOSU'!#REF!)</f>
        <v>#REF!</v>
      </c>
      <c r="E62" s="14" t="e">
        <f>SUMIF('KAPASİTE TABLOSU'!$F:$F,'İL-İLÇE BAZINDA KAPASİTE'!$A62,'KAPASİTE TABLOSU'!#REF!)</f>
        <v>#REF!</v>
      </c>
      <c r="F62" s="12" t="str">
        <f t="shared" si="1"/>
        <v>İL</v>
      </c>
      <c r="G62" s="12" t="s">
        <v>47</v>
      </c>
      <c r="H62" s="3" t="s">
        <v>47</v>
      </c>
    </row>
    <row r="63" spans="1:8" x14ac:dyDescent="0.25">
      <c r="A63" s="13" t="s">
        <v>674</v>
      </c>
      <c r="B63" s="14">
        <f>COUNTIF('KAPASİTE TABLOSU'!F:F,'İL-İLÇE BAZINDA KAPASİTE'!A63)</f>
        <v>0</v>
      </c>
      <c r="C63" s="14" t="e">
        <f>SUMIF('KAPASİTE TABLOSU'!$F:$F,'İL-İLÇE BAZINDA KAPASİTE'!$A63,'KAPASİTE TABLOSU'!#REF!)</f>
        <v>#REF!</v>
      </c>
      <c r="D63" s="14" t="e">
        <f>SUMIF('KAPASİTE TABLOSU'!$F:$F,'İL-İLÇE BAZINDA KAPASİTE'!$A63,'KAPASİTE TABLOSU'!#REF!)</f>
        <v>#REF!</v>
      </c>
      <c r="E63" s="14" t="e">
        <f>SUMIF('KAPASİTE TABLOSU'!$F:$F,'İL-İLÇE BAZINDA KAPASİTE'!$A63,'KAPASİTE TABLOSU'!#REF!)</f>
        <v>#REF!</v>
      </c>
      <c r="F63" s="12" t="str">
        <f t="shared" si="1"/>
        <v>İLÇE</v>
      </c>
      <c r="G63" s="12" t="s">
        <v>47</v>
      </c>
      <c r="H63" s="3" t="s">
        <v>561</v>
      </c>
    </row>
    <row r="64" spans="1:8" x14ac:dyDescent="0.25">
      <c r="A64" s="13" t="s">
        <v>935</v>
      </c>
      <c r="B64" s="14">
        <f>COUNTIF('KAPASİTE TABLOSU'!F:F,'İL-İLÇE BAZINDA KAPASİTE'!A64)</f>
        <v>0</v>
      </c>
      <c r="C64" s="14" t="e">
        <f>SUMIF('KAPASİTE TABLOSU'!$F:$F,'İL-İLÇE BAZINDA KAPASİTE'!$A64,'KAPASİTE TABLOSU'!#REF!)</f>
        <v>#REF!</v>
      </c>
      <c r="D64" s="14" t="e">
        <f>SUMIF('KAPASİTE TABLOSU'!$F:$F,'İL-İLÇE BAZINDA KAPASİTE'!$A64,'KAPASİTE TABLOSU'!#REF!)</f>
        <v>#REF!</v>
      </c>
      <c r="E64" s="14" t="e">
        <f>SUMIF('KAPASİTE TABLOSU'!$F:$F,'İL-İLÇE BAZINDA KAPASİTE'!$A64,'KAPASİTE TABLOSU'!#REF!)</f>
        <v>#REF!</v>
      </c>
      <c r="F64" s="12" t="str">
        <f t="shared" si="1"/>
        <v>İLÇE</v>
      </c>
      <c r="G64" s="12" t="s">
        <v>47</v>
      </c>
      <c r="H64" s="3" t="s">
        <v>933</v>
      </c>
    </row>
    <row r="65" spans="1:8" x14ac:dyDescent="0.25">
      <c r="A65" s="13" t="s">
        <v>675</v>
      </c>
      <c r="B65" s="14">
        <f>COUNTIF('KAPASİTE TABLOSU'!F:F,'İL-İLÇE BAZINDA KAPASİTE'!A65)</f>
        <v>0</v>
      </c>
      <c r="C65" s="14" t="e">
        <f>SUMIF('KAPASİTE TABLOSU'!$F:$F,'İL-İLÇE BAZINDA KAPASİTE'!$A65,'KAPASİTE TABLOSU'!#REF!)</f>
        <v>#REF!</v>
      </c>
      <c r="D65" s="14" t="e">
        <f>SUMIF('KAPASİTE TABLOSU'!$F:$F,'İL-İLÇE BAZINDA KAPASİTE'!$A65,'KAPASİTE TABLOSU'!#REF!)</f>
        <v>#REF!</v>
      </c>
      <c r="E65" s="14" t="e">
        <f>SUMIF('KAPASİTE TABLOSU'!$F:$F,'İL-İLÇE BAZINDA KAPASİTE'!$A65,'KAPASİTE TABLOSU'!#REF!)</f>
        <v>#REF!</v>
      </c>
      <c r="F65" s="12" t="str">
        <f t="shared" si="1"/>
        <v>İL</v>
      </c>
      <c r="G65" s="12" t="s">
        <v>52</v>
      </c>
      <c r="H65" s="3" t="s">
        <v>52</v>
      </c>
    </row>
    <row r="66" spans="1:8" x14ac:dyDescent="0.25">
      <c r="A66" s="13" t="s">
        <v>676</v>
      </c>
      <c r="B66" s="14">
        <f>COUNTIF('KAPASİTE TABLOSU'!F:F,'İL-İLÇE BAZINDA KAPASİTE'!A66)</f>
        <v>0</v>
      </c>
      <c r="C66" s="14" t="e">
        <f>SUMIF('KAPASİTE TABLOSU'!$F:$F,'İL-İLÇE BAZINDA KAPASİTE'!$A66,'KAPASİTE TABLOSU'!#REF!)</f>
        <v>#REF!</v>
      </c>
      <c r="D66" s="14" t="e">
        <f>SUMIF('KAPASİTE TABLOSU'!$F:$F,'İL-İLÇE BAZINDA KAPASİTE'!$A66,'KAPASİTE TABLOSU'!#REF!)</f>
        <v>#REF!</v>
      </c>
      <c r="E66" s="14" t="e">
        <f>SUMIF('KAPASİTE TABLOSU'!$F:$F,'İL-İLÇE BAZINDA KAPASİTE'!$A66,'KAPASİTE TABLOSU'!#REF!)</f>
        <v>#REF!</v>
      </c>
      <c r="F66" s="12" t="str">
        <f t="shared" si="1"/>
        <v>İLÇE</v>
      </c>
      <c r="G66" s="12" t="s">
        <v>52</v>
      </c>
      <c r="H66" s="3" t="s">
        <v>53</v>
      </c>
    </row>
    <row r="67" spans="1:8" x14ac:dyDescent="0.25">
      <c r="A67" s="13" t="s">
        <v>677</v>
      </c>
      <c r="B67" s="14">
        <f>COUNTIF('KAPASİTE TABLOSU'!F:F,'İL-İLÇE BAZINDA KAPASİTE'!A67)</f>
        <v>0</v>
      </c>
      <c r="C67" s="14" t="e">
        <f>SUMIF('KAPASİTE TABLOSU'!$F:$F,'İL-İLÇE BAZINDA KAPASİTE'!$A67,'KAPASİTE TABLOSU'!#REF!)</f>
        <v>#REF!</v>
      </c>
      <c r="D67" s="14" t="e">
        <f>SUMIF('KAPASİTE TABLOSU'!$F:$F,'İL-İLÇE BAZINDA KAPASİTE'!$A67,'KAPASİTE TABLOSU'!#REF!)</f>
        <v>#REF!</v>
      </c>
      <c r="E67" s="14" t="e">
        <f>SUMIF('KAPASİTE TABLOSU'!$F:$F,'İL-İLÇE BAZINDA KAPASİTE'!$A67,'KAPASİTE TABLOSU'!#REF!)</f>
        <v>#REF!</v>
      </c>
      <c r="F67" s="12" t="str">
        <f t="shared" si="1"/>
        <v>İLÇE</v>
      </c>
      <c r="G67" s="12" t="s">
        <v>52</v>
      </c>
      <c r="H67" s="3" t="s">
        <v>54</v>
      </c>
    </row>
    <row r="68" spans="1:8" x14ac:dyDescent="0.25">
      <c r="A68" s="13" t="s">
        <v>678</v>
      </c>
      <c r="B68" s="14">
        <f>COUNTIF('KAPASİTE TABLOSU'!F:F,'İL-İLÇE BAZINDA KAPASİTE'!A68)</f>
        <v>0</v>
      </c>
      <c r="C68" s="14" t="e">
        <f>SUMIF('KAPASİTE TABLOSU'!$F:$F,'İL-İLÇE BAZINDA KAPASİTE'!$A68,'KAPASİTE TABLOSU'!#REF!)</f>
        <v>#REF!</v>
      </c>
      <c r="D68" s="14" t="e">
        <f>SUMIF('KAPASİTE TABLOSU'!$F:$F,'İL-İLÇE BAZINDA KAPASİTE'!$A68,'KAPASİTE TABLOSU'!#REF!)</f>
        <v>#REF!</v>
      </c>
      <c r="E68" s="14" t="e">
        <f>SUMIF('KAPASİTE TABLOSU'!$F:$F,'İL-İLÇE BAZINDA KAPASİTE'!$A68,'KAPASİTE TABLOSU'!#REF!)</f>
        <v>#REF!</v>
      </c>
      <c r="F68" s="12" t="str">
        <f t="shared" si="1"/>
        <v>İL</v>
      </c>
      <c r="G68" s="12" t="s">
        <v>21</v>
      </c>
      <c r="H68" s="3" t="s">
        <v>21</v>
      </c>
    </row>
    <row r="69" spans="1:8" x14ac:dyDescent="0.25">
      <c r="A69" s="13" t="s">
        <v>679</v>
      </c>
      <c r="B69" s="14">
        <f>COUNTIF('KAPASİTE TABLOSU'!F:F,'İL-İLÇE BAZINDA KAPASİTE'!A69)</f>
        <v>0</v>
      </c>
      <c r="C69" s="14" t="e">
        <f>SUMIF('KAPASİTE TABLOSU'!$F:$F,'İL-İLÇE BAZINDA KAPASİTE'!$A69,'KAPASİTE TABLOSU'!#REF!)</f>
        <v>#REF!</v>
      </c>
      <c r="D69" s="14" t="e">
        <f>SUMIF('KAPASİTE TABLOSU'!$F:$F,'İL-İLÇE BAZINDA KAPASİTE'!$A69,'KAPASİTE TABLOSU'!#REF!)</f>
        <v>#REF!</v>
      </c>
      <c r="E69" s="14" t="e">
        <f>SUMIF('KAPASİTE TABLOSU'!$F:$F,'İL-İLÇE BAZINDA KAPASİTE'!$A69,'KAPASİTE TABLOSU'!#REF!)</f>
        <v>#REF!</v>
      </c>
      <c r="F69" s="12" t="str">
        <f t="shared" si="1"/>
        <v>İL</v>
      </c>
      <c r="G69" s="12" t="s">
        <v>171</v>
      </c>
      <c r="H69" s="3" t="s">
        <v>171</v>
      </c>
    </row>
    <row r="70" spans="1:8" x14ac:dyDescent="0.25">
      <c r="A70" s="13" t="s">
        <v>680</v>
      </c>
      <c r="B70" s="14">
        <f>COUNTIF('KAPASİTE TABLOSU'!F:F,'İL-İLÇE BAZINDA KAPASİTE'!A70)</f>
        <v>0</v>
      </c>
      <c r="C70" s="14" t="e">
        <f>SUMIF('KAPASİTE TABLOSU'!$F:$F,'İL-İLÇE BAZINDA KAPASİTE'!$A70,'KAPASİTE TABLOSU'!#REF!)</f>
        <v>#REF!</v>
      </c>
      <c r="D70" s="14" t="e">
        <f>SUMIF('KAPASİTE TABLOSU'!$F:$F,'İL-İLÇE BAZINDA KAPASİTE'!$A70,'KAPASİTE TABLOSU'!#REF!)</f>
        <v>#REF!</v>
      </c>
      <c r="E70" s="14" t="e">
        <f>SUMIF('KAPASİTE TABLOSU'!$F:$F,'İL-İLÇE BAZINDA KAPASİTE'!$A70,'KAPASİTE TABLOSU'!#REF!)</f>
        <v>#REF!</v>
      </c>
      <c r="F70" s="12" t="str">
        <f t="shared" si="1"/>
        <v>İLÇE</v>
      </c>
      <c r="G70" s="12" t="s">
        <v>171</v>
      </c>
      <c r="H70" s="3" t="s">
        <v>546</v>
      </c>
    </row>
    <row r="71" spans="1:8" x14ac:dyDescent="0.25">
      <c r="A71" s="13" t="s">
        <v>681</v>
      </c>
      <c r="B71" s="14">
        <f>COUNTIF('KAPASİTE TABLOSU'!F:F,'İL-İLÇE BAZINDA KAPASİTE'!A71)</f>
        <v>0</v>
      </c>
      <c r="C71" s="14" t="e">
        <f>SUMIF('KAPASİTE TABLOSU'!$F:$F,'İL-İLÇE BAZINDA KAPASİTE'!$A71,'KAPASİTE TABLOSU'!#REF!)</f>
        <v>#REF!</v>
      </c>
      <c r="D71" s="14" t="e">
        <f>SUMIF('KAPASİTE TABLOSU'!$F:$F,'İL-İLÇE BAZINDA KAPASİTE'!$A71,'KAPASİTE TABLOSU'!#REF!)</f>
        <v>#REF!</v>
      </c>
      <c r="E71" s="14" t="e">
        <f>SUMIF('KAPASİTE TABLOSU'!$F:$F,'İL-İLÇE BAZINDA KAPASİTE'!$A71,'KAPASİTE TABLOSU'!#REF!)</f>
        <v>#REF!</v>
      </c>
      <c r="F71" s="12" t="str">
        <f t="shared" ref="F71:F135" si="4">IF(G71=H71,"İL","İLÇE")</f>
        <v>İL</v>
      </c>
      <c r="G71" s="12" t="s">
        <v>56</v>
      </c>
      <c r="H71" s="3" t="s">
        <v>56</v>
      </c>
    </row>
    <row r="72" spans="1:8" x14ac:dyDescent="0.25">
      <c r="A72" s="13" t="s">
        <v>682</v>
      </c>
      <c r="B72" s="14">
        <f>COUNTIF('KAPASİTE TABLOSU'!F:F,'İL-İLÇE BAZINDA KAPASİTE'!A72)</f>
        <v>0</v>
      </c>
      <c r="C72" s="14" t="e">
        <f>SUMIF('KAPASİTE TABLOSU'!$F:$F,'İL-İLÇE BAZINDA KAPASİTE'!$A72,'KAPASİTE TABLOSU'!#REF!)</f>
        <v>#REF!</v>
      </c>
      <c r="D72" s="14" t="e">
        <f>SUMIF('KAPASİTE TABLOSU'!$F:$F,'İL-İLÇE BAZINDA KAPASİTE'!$A72,'KAPASİTE TABLOSU'!#REF!)</f>
        <v>#REF!</v>
      </c>
      <c r="E72" s="14" t="e">
        <f>SUMIF('KAPASİTE TABLOSU'!$F:$F,'İL-İLÇE BAZINDA KAPASİTE'!$A72,'KAPASİTE TABLOSU'!#REF!)</f>
        <v>#REF!</v>
      </c>
      <c r="F72" s="12" t="str">
        <f t="shared" si="4"/>
        <v>İLÇE</v>
      </c>
      <c r="G72" s="12" t="s">
        <v>56</v>
      </c>
      <c r="H72" s="3" t="s">
        <v>57</v>
      </c>
    </row>
    <row r="73" spans="1:8" x14ac:dyDescent="0.25">
      <c r="A73" s="13" t="s">
        <v>683</v>
      </c>
      <c r="B73" s="14">
        <f>COUNTIF('KAPASİTE TABLOSU'!F:F,'İL-İLÇE BAZINDA KAPASİTE'!A73)</f>
        <v>0</v>
      </c>
      <c r="C73" s="14" t="e">
        <f>SUMIF('KAPASİTE TABLOSU'!$F:$F,'İL-İLÇE BAZINDA KAPASİTE'!$A73,'KAPASİTE TABLOSU'!#REF!)</f>
        <v>#REF!</v>
      </c>
      <c r="D73" s="14" t="e">
        <f>SUMIF('KAPASİTE TABLOSU'!$F:$F,'İL-İLÇE BAZINDA KAPASİTE'!$A73,'KAPASİTE TABLOSU'!#REF!)</f>
        <v>#REF!</v>
      </c>
      <c r="E73" s="14" t="e">
        <f>SUMIF('KAPASİTE TABLOSU'!$F:$F,'İL-İLÇE BAZINDA KAPASİTE'!$A73,'KAPASİTE TABLOSU'!#REF!)</f>
        <v>#REF!</v>
      </c>
      <c r="F73" s="12" t="str">
        <f t="shared" si="4"/>
        <v>İLÇE</v>
      </c>
      <c r="G73" s="12" t="s">
        <v>56</v>
      </c>
      <c r="H73" s="3" t="s">
        <v>58</v>
      </c>
    </row>
    <row r="74" spans="1:8" x14ac:dyDescent="0.25">
      <c r="A74" s="13" t="s">
        <v>684</v>
      </c>
      <c r="B74" s="14">
        <f>COUNTIF('KAPASİTE TABLOSU'!F:F,'İL-İLÇE BAZINDA KAPASİTE'!A74)</f>
        <v>0</v>
      </c>
      <c r="C74" s="14" t="e">
        <f>SUMIF('KAPASİTE TABLOSU'!$F:$F,'İL-İLÇE BAZINDA KAPASİTE'!$A74,'KAPASİTE TABLOSU'!#REF!)</f>
        <v>#REF!</v>
      </c>
      <c r="D74" s="14" t="e">
        <f>SUMIF('KAPASİTE TABLOSU'!$F:$F,'İL-İLÇE BAZINDA KAPASİTE'!$A74,'KAPASİTE TABLOSU'!#REF!)</f>
        <v>#REF!</v>
      </c>
      <c r="E74" s="14" t="e">
        <f>SUMIF('KAPASİTE TABLOSU'!$F:$F,'İL-İLÇE BAZINDA KAPASİTE'!$A74,'KAPASİTE TABLOSU'!#REF!)</f>
        <v>#REF!</v>
      </c>
      <c r="F74" s="12" t="str">
        <f t="shared" si="4"/>
        <v>İLÇE</v>
      </c>
      <c r="G74" s="12" t="s">
        <v>56</v>
      </c>
      <c r="H74" s="3" t="s">
        <v>59</v>
      </c>
    </row>
    <row r="75" spans="1:8" x14ac:dyDescent="0.25">
      <c r="A75" s="13" t="s">
        <v>685</v>
      </c>
      <c r="B75" s="14">
        <f>COUNTIF('KAPASİTE TABLOSU'!F:F,'İL-İLÇE BAZINDA KAPASİTE'!A75)</f>
        <v>0</v>
      </c>
      <c r="C75" s="14" t="e">
        <f>SUMIF('KAPASİTE TABLOSU'!$F:$F,'İL-İLÇE BAZINDA KAPASİTE'!$A75,'KAPASİTE TABLOSU'!#REF!)</f>
        <v>#REF!</v>
      </c>
      <c r="D75" s="14" t="e">
        <f>SUMIF('KAPASİTE TABLOSU'!$F:$F,'İL-İLÇE BAZINDA KAPASİTE'!$A75,'KAPASİTE TABLOSU'!#REF!)</f>
        <v>#REF!</v>
      </c>
      <c r="E75" s="14" t="e">
        <f>SUMIF('KAPASİTE TABLOSU'!$F:$F,'İL-İLÇE BAZINDA KAPASİTE'!$A75,'KAPASİTE TABLOSU'!#REF!)</f>
        <v>#REF!</v>
      </c>
      <c r="F75" s="12" t="str">
        <f t="shared" si="4"/>
        <v>İLÇE</v>
      </c>
      <c r="G75" s="12" t="s">
        <v>56</v>
      </c>
      <c r="H75" s="3" t="s">
        <v>60</v>
      </c>
    </row>
    <row r="76" spans="1:8" x14ac:dyDescent="0.25">
      <c r="A76" s="13" t="s">
        <v>686</v>
      </c>
      <c r="B76" s="14">
        <f>COUNTIF('KAPASİTE TABLOSU'!F:F,'İL-İLÇE BAZINDA KAPASİTE'!A76)</f>
        <v>0</v>
      </c>
      <c r="C76" s="14" t="e">
        <f>SUMIF('KAPASİTE TABLOSU'!$F:$F,'İL-İLÇE BAZINDA KAPASİTE'!$A76,'KAPASİTE TABLOSU'!#REF!)</f>
        <v>#REF!</v>
      </c>
      <c r="D76" s="14" t="e">
        <f>SUMIF('KAPASİTE TABLOSU'!$F:$F,'İL-İLÇE BAZINDA KAPASİTE'!$A76,'KAPASİTE TABLOSU'!#REF!)</f>
        <v>#REF!</v>
      </c>
      <c r="E76" s="14" t="e">
        <f>SUMIF('KAPASİTE TABLOSU'!$F:$F,'İL-İLÇE BAZINDA KAPASİTE'!$A76,'KAPASİTE TABLOSU'!#REF!)</f>
        <v>#REF!</v>
      </c>
      <c r="F76" s="12" t="str">
        <f t="shared" si="4"/>
        <v>İL</v>
      </c>
      <c r="G76" s="12" t="s">
        <v>71</v>
      </c>
      <c r="H76" s="3" t="s">
        <v>71</v>
      </c>
    </row>
    <row r="77" spans="1:8" x14ac:dyDescent="0.25">
      <c r="A77" s="13" t="s">
        <v>687</v>
      </c>
      <c r="B77" s="14">
        <f>COUNTIF('KAPASİTE TABLOSU'!F:F,'İL-İLÇE BAZINDA KAPASİTE'!A77)</f>
        <v>0</v>
      </c>
      <c r="C77" s="14" t="e">
        <f>SUMIF('KAPASİTE TABLOSU'!$F:$F,'İL-İLÇE BAZINDA KAPASİTE'!$A77,'KAPASİTE TABLOSU'!#REF!)</f>
        <v>#REF!</v>
      </c>
      <c r="D77" s="14" t="e">
        <f>SUMIF('KAPASİTE TABLOSU'!$F:$F,'İL-İLÇE BAZINDA KAPASİTE'!$A77,'KAPASİTE TABLOSU'!#REF!)</f>
        <v>#REF!</v>
      </c>
      <c r="E77" s="14" t="e">
        <f>SUMIF('KAPASİTE TABLOSU'!$F:$F,'İL-İLÇE BAZINDA KAPASİTE'!$A77,'KAPASİTE TABLOSU'!#REF!)</f>
        <v>#REF!</v>
      </c>
      <c r="F77" s="12" t="str">
        <f t="shared" si="4"/>
        <v>İL</v>
      </c>
      <c r="G77" s="12" t="s">
        <v>38</v>
      </c>
      <c r="H77" s="3" t="s">
        <v>38</v>
      </c>
    </row>
    <row r="78" spans="1:8" x14ac:dyDescent="0.25">
      <c r="A78" s="13" t="s">
        <v>688</v>
      </c>
      <c r="B78" s="14">
        <f>COUNTIF('KAPASİTE TABLOSU'!F:F,'İL-İLÇE BAZINDA KAPASİTE'!A78)</f>
        <v>0</v>
      </c>
      <c r="C78" s="14" t="e">
        <f>SUMIF('KAPASİTE TABLOSU'!$F:$F,'İL-İLÇE BAZINDA KAPASİTE'!$A78,'KAPASİTE TABLOSU'!#REF!)</f>
        <v>#REF!</v>
      </c>
      <c r="D78" s="14" t="e">
        <f>SUMIF('KAPASİTE TABLOSU'!$F:$F,'İL-İLÇE BAZINDA KAPASİTE'!$A78,'KAPASİTE TABLOSU'!#REF!)</f>
        <v>#REF!</v>
      </c>
      <c r="E78" s="14" t="e">
        <f>SUMIF('KAPASİTE TABLOSU'!$F:$F,'İL-İLÇE BAZINDA KAPASİTE'!$A78,'KAPASİTE TABLOSU'!#REF!)</f>
        <v>#REF!</v>
      </c>
      <c r="F78" s="12" t="str">
        <f t="shared" si="4"/>
        <v>İLÇE</v>
      </c>
      <c r="G78" s="12" t="s">
        <v>38</v>
      </c>
      <c r="H78" s="3" t="s">
        <v>39</v>
      </c>
    </row>
    <row r="79" spans="1:8" x14ac:dyDescent="0.25">
      <c r="A79" s="13" t="s">
        <v>689</v>
      </c>
      <c r="B79" s="14">
        <f>COUNTIF('KAPASİTE TABLOSU'!F:F,'İL-İLÇE BAZINDA KAPASİTE'!A79)</f>
        <v>0</v>
      </c>
      <c r="C79" s="14" t="e">
        <f>SUMIF('KAPASİTE TABLOSU'!$F:$F,'İL-İLÇE BAZINDA KAPASİTE'!$A79,'KAPASİTE TABLOSU'!#REF!)</f>
        <v>#REF!</v>
      </c>
      <c r="D79" s="14" t="e">
        <f>SUMIF('KAPASİTE TABLOSU'!$F:$F,'İL-İLÇE BAZINDA KAPASİTE'!$A79,'KAPASİTE TABLOSU'!#REF!)</f>
        <v>#REF!</v>
      </c>
      <c r="E79" s="14" t="e">
        <f>SUMIF('KAPASİTE TABLOSU'!$F:$F,'İL-İLÇE BAZINDA KAPASİTE'!$A79,'KAPASİTE TABLOSU'!#REF!)</f>
        <v>#REF!</v>
      </c>
      <c r="F79" s="12" t="str">
        <f t="shared" si="4"/>
        <v>İLÇE</v>
      </c>
      <c r="G79" s="12" t="s">
        <v>38</v>
      </c>
      <c r="H79" s="3" t="s">
        <v>40</v>
      </c>
    </row>
    <row r="80" spans="1:8" x14ac:dyDescent="0.25">
      <c r="A80" s="13" t="s">
        <v>690</v>
      </c>
      <c r="B80" s="14">
        <f>COUNTIF('KAPASİTE TABLOSU'!F:F,'İL-İLÇE BAZINDA KAPASİTE'!A80)</f>
        <v>0</v>
      </c>
      <c r="C80" s="14" t="e">
        <f>SUMIF('KAPASİTE TABLOSU'!$F:$F,'İL-İLÇE BAZINDA KAPASİTE'!$A80,'KAPASİTE TABLOSU'!#REF!)</f>
        <v>#REF!</v>
      </c>
      <c r="D80" s="14" t="e">
        <f>SUMIF('KAPASİTE TABLOSU'!$F:$F,'İL-İLÇE BAZINDA KAPASİTE'!$A80,'KAPASİTE TABLOSU'!#REF!)</f>
        <v>#REF!</v>
      </c>
      <c r="E80" s="14" t="e">
        <f>SUMIF('KAPASİTE TABLOSU'!$F:$F,'İL-İLÇE BAZINDA KAPASİTE'!$A80,'KAPASİTE TABLOSU'!#REF!)</f>
        <v>#REF!</v>
      </c>
      <c r="F80" s="12" t="str">
        <f t="shared" si="4"/>
        <v>İL</v>
      </c>
      <c r="G80" s="12" t="s">
        <v>76</v>
      </c>
      <c r="H80" s="3" t="s">
        <v>76</v>
      </c>
    </row>
    <row r="81" spans="1:8" x14ac:dyDescent="0.25">
      <c r="A81" s="13" t="s">
        <v>691</v>
      </c>
      <c r="B81" s="14">
        <f>COUNTIF('KAPASİTE TABLOSU'!F:F,'İL-İLÇE BAZINDA KAPASİTE'!A81)</f>
        <v>0</v>
      </c>
      <c r="C81" s="14" t="e">
        <f>SUMIF('KAPASİTE TABLOSU'!$F:$F,'İL-İLÇE BAZINDA KAPASİTE'!$A81,'KAPASİTE TABLOSU'!#REF!)</f>
        <v>#REF!</v>
      </c>
      <c r="D81" s="14" t="e">
        <f>SUMIF('KAPASİTE TABLOSU'!$F:$F,'İL-İLÇE BAZINDA KAPASİTE'!$A81,'KAPASİTE TABLOSU'!#REF!)</f>
        <v>#REF!</v>
      </c>
      <c r="E81" s="14" t="e">
        <f>SUMIF('KAPASİTE TABLOSU'!$F:$F,'İL-İLÇE BAZINDA KAPASİTE'!$A81,'KAPASİTE TABLOSU'!#REF!)</f>
        <v>#REF!</v>
      </c>
      <c r="F81" s="12" t="str">
        <f t="shared" si="4"/>
        <v>İLÇE</v>
      </c>
      <c r="G81" s="12" t="s">
        <v>76</v>
      </c>
      <c r="H81" s="3" t="s">
        <v>77</v>
      </c>
    </row>
    <row r="82" spans="1:8" x14ac:dyDescent="0.25">
      <c r="A82" s="13" t="s">
        <v>692</v>
      </c>
      <c r="B82" s="14">
        <f>COUNTIF('KAPASİTE TABLOSU'!F:F,'İL-İLÇE BAZINDA KAPASİTE'!A82)</f>
        <v>0</v>
      </c>
      <c r="C82" s="14" t="e">
        <f>SUMIF('KAPASİTE TABLOSU'!$F:$F,'İL-İLÇE BAZINDA KAPASİTE'!$A82,'KAPASİTE TABLOSU'!#REF!)</f>
        <v>#REF!</v>
      </c>
      <c r="D82" s="14" t="e">
        <f>SUMIF('KAPASİTE TABLOSU'!$F:$F,'İL-İLÇE BAZINDA KAPASİTE'!$A82,'KAPASİTE TABLOSU'!#REF!)</f>
        <v>#REF!</v>
      </c>
      <c r="E82" s="14" t="e">
        <f>SUMIF('KAPASİTE TABLOSU'!$F:$F,'İL-İLÇE BAZINDA KAPASİTE'!$A82,'KAPASİTE TABLOSU'!#REF!)</f>
        <v>#REF!</v>
      </c>
      <c r="F82" s="12" t="str">
        <f t="shared" si="4"/>
        <v>İLÇE</v>
      </c>
      <c r="G82" s="12" t="s">
        <v>76</v>
      </c>
      <c r="H82" s="3" t="s">
        <v>78</v>
      </c>
    </row>
    <row r="83" spans="1:8" x14ac:dyDescent="0.25">
      <c r="A83" s="13" t="s">
        <v>693</v>
      </c>
      <c r="B83" s="14">
        <f>COUNTIF('KAPASİTE TABLOSU'!F:F,'İL-İLÇE BAZINDA KAPASİTE'!A83)</f>
        <v>0</v>
      </c>
      <c r="C83" s="14" t="e">
        <f>SUMIF('KAPASİTE TABLOSU'!$F:$F,'İL-İLÇE BAZINDA KAPASİTE'!$A83,'KAPASİTE TABLOSU'!#REF!)</f>
        <v>#REF!</v>
      </c>
      <c r="D83" s="14" t="e">
        <f>SUMIF('KAPASİTE TABLOSU'!$F:$F,'İL-İLÇE BAZINDA KAPASİTE'!$A83,'KAPASİTE TABLOSU'!#REF!)</f>
        <v>#REF!</v>
      </c>
      <c r="E83" s="14" t="e">
        <f>SUMIF('KAPASİTE TABLOSU'!$F:$F,'İL-İLÇE BAZINDA KAPASİTE'!$A83,'KAPASİTE TABLOSU'!#REF!)</f>
        <v>#REF!</v>
      </c>
      <c r="F83" s="12" t="str">
        <f t="shared" si="4"/>
        <v>İLÇE</v>
      </c>
      <c r="G83" s="12" t="s">
        <v>76</v>
      </c>
      <c r="H83" s="3" t="s">
        <v>79</v>
      </c>
    </row>
    <row r="84" spans="1:8" x14ac:dyDescent="0.25">
      <c r="A84" s="13" t="s">
        <v>694</v>
      </c>
      <c r="B84" s="14">
        <f>COUNTIF('KAPASİTE TABLOSU'!F:F,'İL-İLÇE BAZINDA KAPASİTE'!A84)</f>
        <v>0</v>
      </c>
      <c r="C84" s="14" t="e">
        <f>SUMIF('KAPASİTE TABLOSU'!$F:$F,'İL-İLÇE BAZINDA KAPASİTE'!$A84,'KAPASİTE TABLOSU'!#REF!)</f>
        <v>#REF!</v>
      </c>
      <c r="D84" s="14" t="e">
        <f>SUMIF('KAPASİTE TABLOSU'!$F:$F,'İL-İLÇE BAZINDA KAPASİTE'!$A84,'KAPASİTE TABLOSU'!#REF!)</f>
        <v>#REF!</v>
      </c>
      <c r="E84" s="14" t="e">
        <f>SUMIF('KAPASİTE TABLOSU'!$F:$F,'İL-İLÇE BAZINDA KAPASİTE'!$A84,'KAPASİTE TABLOSU'!#REF!)</f>
        <v>#REF!</v>
      </c>
      <c r="F84" s="12" t="str">
        <f t="shared" si="4"/>
        <v>İL</v>
      </c>
      <c r="G84" s="12" t="s">
        <v>163</v>
      </c>
      <c r="H84" s="3" t="s">
        <v>163</v>
      </c>
    </row>
    <row r="85" spans="1:8" x14ac:dyDescent="0.25">
      <c r="A85" s="13" t="s">
        <v>695</v>
      </c>
      <c r="B85" s="14">
        <f>COUNTIF('KAPASİTE TABLOSU'!F:F,'İL-İLÇE BAZINDA KAPASİTE'!A85)</f>
        <v>0</v>
      </c>
      <c r="C85" s="14" t="e">
        <f>SUMIF('KAPASİTE TABLOSU'!$F:$F,'İL-İLÇE BAZINDA KAPASİTE'!$A85,'KAPASİTE TABLOSU'!#REF!)</f>
        <v>#REF!</v>
      </c>
      <c r="D85" s="14" t="e">
        <f>SUMIF('KAPASİTE TABLOSU'!$F:$F,'İL-İLÇE BAZINDA KAPASİTE'!$A85,'KAPASİTE TABLOSU'!#REF!)</f>
        <v>#REF!</v>
      </c>
      <c r="E85" s="14" t="e">
        <f>SUMIF('KAPASİTE TABLOSU'!$F:$F,'İL-İLÇE BAZINDA KAPASİTE'!$A85,'KAPASİTE TABLOSU'!#REF!)</f>
        <v>#REF!</v>
      </c>
      <c r="F85" s="12" t="str">
        <f t="shared" si="4"/>
        <v>İL</v>
      </c>
      <c r="G85" s="12" t="s">
        <v>95</v>
      </c>
      <c r="H85" s="3" t="s">
        <v>95</v>
      </c>
    </row>
    <row r="86" spans="1:8" x14ac:dyDescent="0.25">
      <c r="A86" s="13" t="s">
        <v>696</v>
      </c>
      <c r="B86" s="14">
        <f>COUNTIF('KAPASİTE TABLOSU'!F:F,'İL-İLÇE BAZINDA KAPASİTE'!A86)</f>
        <v>0</v>
      </c>
      <c r="C86" s="14" t="e">
        <f>SUMIF('KAPASİTE TABLOSU'!$F:$F,'İL-İLÇE BAZINDA KAPASİTE'!$A86,'KAPASİTE TABLOSU'!#REF!)</f>
        <v>#REF!</v>
      </c>
      <c r="D86" s="14" t="e">
        <f>SUMIF('KAPASİTE TABLOSU'!$F:$F,'İL-İLÇE BAZINDA KAPASİTE'!$A86,'KAPASİTE TABLOSU'!#REF!)</f>
        <v>#REF!</v>
      </c>
      <c r="E86" s="14" t="e">
        <f>SUMIF('KAPASİTE TABLOSU'!$F:$F,'İL-İLÇE BAZINDA KAPASİTE'!$A86,'KAPASİTE TABLOSU'!#REF!)</f>
        <v>#REF!</v>
      </c>
      <c r="F86" s="12" t="str">
        <f t="shared" si="4"/>
        <v>İLÇE</v>
      </c>
      <c r="G86" s="12" t="s">
        <v>95</v>
      </c>
      <c r="H86" s="3" t="s">
        <v>96</v>
      </c>
    </row>
    <row r="87" spans="1:8" x14ac:dyDescent="0.25">
      <c r="A87" s="13" t="s">
        <v>697</v>
      </c>
      <c r="B87" s="14">
        <f>COUNTIF('KAPASİTE TABLOSU'!F:F,'İL-İLÇE BAZINDA KAPASİTE'!A87)</f>
        <v>0</v>
      </c>
      <c r="C87" s="14" t="e">
        <f>SUMIF('KAPASİTE TABLOSU'!$F:$F,'İL-İLÇE BAZINDA KAPASİTE'!$A87,'KAPASİTE TABLOSU'!#REF!)</f>
        <v>#REF!</v>
      </c>
      <c r="D87" s="14" t="e">
        <f>SUMIF('KAPASİTE TABLOSU'!$F:$F,'İL-İLÇE BAZINDA KAPASİTE'!$A87,'KAPASİTE TABLOSU'!#REF!)</f>
        <v>#REF!</v>
      </c>
      <c r="E87" s="14" t="e">
        <f>SUMIF('KAPASİTE TABLOSU'!$F:$F,'İL-İLÇE BAZINDA KAPASİTE'!$A87,'KAPASİTE TABLOSU'!#REF!)</f>
        <v>#REF!</v>
      </c>
      <c r="F87" s="12" t="str">
        <f t="shared" si="4"/>
        <v>İLÇE</v>
      </c>
      <c r="G87" s="12" t="s">
        <v>95</v>
      </c>
      <c r="H87" s="3" t="s">
        <v>97</v>
      </c>
    </row>
    <row r="88" spans="1:8" x14ac:dyDescent="0.25">
      <c r="A88" s="13" t="s">
        <v>698</v>
      </c>
      <c r="B88" s="14">
        <f>COUNTIF('KAPASİTE TABLOSU'!F:F,'İL-İLÇE BAZINDA KAPASİTE'!A88)</f>
        <v>0</v>
      </c>
      <c r="C88" s="14" t="e">
        <f>SUMIF('KAPASİTE TABLOSU'!$F:$F,'İL-İLÇE BAZINDA KAPASİTE'!$A88,'KAPASİTE TABLOSU'!#REF!)</f>
        <v>#REF!</v>
      </c>
      <c r="D88" s="14" t="e">
        <f>SUMIF('KAPASİTE TABLOSU'!$F:$F,'İL-İLÇE BAZINDA KAPASİTE'!$A88,'KAPASİTE TABLOSU'!#REF!)</f>
        <v>#REF!</v>
      </c>
      <c r="E88" s="14" t="e">
        <f>SUMIF('KAPASİTE TABLOSU'!$F:$F,'İL-İLÇE BAZINDA KAPASİTE'!$A88,'KAPASİTE TABLOSU'!#REF!)</f>
        <v>#REF!</v>
      </c>
      <c r="F88" s="12" t="str">
        <f t="shared" si="4"/>
        <v>İLÇE</v>
      </c>
      <c r="G88" s="12" t="s">
        <v>95</v>
      </c>
      <c r="H88" s="3" t="s">
        <v>98</v>
      </c>
    </row>
    <row r="89" spans="1:8" x14ac:dyDescent="0.25">
      <c r="A89" s="13" t="s">
        <v>699</v>
      </c>
      <c r="B89" s="14">
        <f>COUNTIF('KAPASİTE TABLOSU'!F:F,'İL-İLÇE BAZINDA KAPASİTE'!A89)</f>
        <v>0</v>
      </c>
      <c r="C89" s="14" t="e">
        <f>SUMIF('KAPASİTE TABLOSU'!$F:$F,'İL-İLÇE BAZINDA KAPASİTE'!$A89,'KAPASİTE TABLOSU'!#REF!)</f>
        <v>#REF!</v>
      </c>
      <c r="D89" s="14" t="e">
        <f>SUMIF('KAPASİTE TABLOSU'!$F:$F,'İL-İLÇE BAZINDA KAPASİTE'!$A89,'KAPASİTE TABLOSU'!#REF!)</f>
        <v>#REF!</v>
      </c>
      <c r="E89" s="14" t="e">
        <f>SUMIF('KAPASİTE TABLOSU'!$F:$F,'İL-İLÇE BAZINDA KAPASİTE'!$A89,'KAPASİTE TABLOSU'!#REF!)</f>
        <v>#REF!</v>
      </c>
      <c r="F89" s="12" t="str">
        <f t="shared" si="4"/>
        <v>İLÇE</v>
      </c>
      <c r="G89" s="12" t="s">
        <v>95</v>
      </c>
      <c r="H89" s="3" t="s">
        <v>99</v>
      </c>
    </row>
    <row r="90" spans="1:8" x14ac:dyDescent="0.25">
      <c r="A90" s="13" t="s">
        <v>700</v>
      </c>
      <c r="B90" s="14">
        <f>COUNTIF('KAPASİTE TABLOSU'!F:F,'İL-İLÇE BAZINDA KAPASİTE'!A90)</f>
        <v>0</v>
      </c>
      <c r="C90" s="14" t="e">
        <f>SUMIF('KAPASİTE TABLOSU'!$F:$F,'İL-İLÇE BAZINDA KAPASİTE'!$A90,'KAPASİTE TABLOSU'!#REF!)</f>
        <v>#REF!</v>
      </c>
      <c r="D90" s="14" t="e">
        <f>SUMIF('KAPASİTE TABLOSU'!$F:$F,'İL-İLÇE BAZINDA KAPASİTE'!$A90,'KAPASİTE TABLOSU'!#REF!)</f>
        <v>#REF!</v>
      </c>
      <c r="E90" s="14" t="e">
        <f>SUMIF('KAPASİTE TABLOSU'!$F:$F,'İL-İLÇE BAZINDA KAPASİTE'!$A90,'KAPASİTE TABLOSU'!#REF!)</f>
        <v>#REF!</v>
      </c>
      <c r="F90" s="12" t="str">
        <f t="shared" si="4"/>
        <v>İL</v>
      </c>
      <c r="G90" s="12" t="s">
        <v>87</v>
      </c>
      <c r="H90" s="3" t="s">
        <v>87</v>
      </c>
    </row>
    <row r="91" spans="1:8" x14ac:dyDescent="0.25">
      <c r="A91" s="13" t="s">
        <v>701</v>
      </c>
      <c r="B91" s="14">
        <f>COUNTIF('KAPASİTE TABLOSU'!F:F,'İL-İLÇE BAZINDA KAPASİTE'!A91)</f>
        <v>0</v>
      </c>
      <c r="C91" s="14" t="e">
        <f>SUMIF('KAPASİTE TABLOSU'!$F:$F,'İL-İLÇE BAZINDA KAPASİTE'!$A91,'KAPASİTE TABLOSU'!#REF!)</f>
        <v>#REF!</v>
      </c>
      <c r="D91" s="14" t="e">
        <f>SUMIF('KAPASİTE TABLOSU'!$F:$F,'İL-İLÇE BAZINDA KAPASİTE'!$A91,'KAPASİTE TABLOSU'!#REF!)</f>
        <v>#REF!</v>
      </c>
      <c r="E91" s="14" t="e">
        <f>SUMIF('KAPASİTE TABLOSU'!$F:$F,'İL-İLÇE BAZINDA KAPASİTE'!$A91,'KAPASİTE TABLOSU'!#REF!)</f>
        <v>#REF!</v>
      </c>
      <c r="F91" s="12" t="str">
        <f t="shared" si="4"/>
        <v>İLÇE</v>
      </c>
      <c r="G91" s="12" t="s">
        <v>87</v>
      </c>
      <c r="H91" s="3" t="s">
        <v>88</v>
      </c>
    </row>
    <row r="92" spans="1:8" x14ac:dyDescent="0.25">
      <c r="A92" s="13" t="s">
        <v>702</v>
      </c>
      <c r="B92" s="14">
        <f>COUNTIF('KAPASİTE TABLOSU'!F:F,'İL-İLÇE BAZINDA KAPASİTE'!A92)</f>
        <v>0</v>
      </c>
      <c r="C92" s="14" t="e">
        <f>SUMIF('KAPASİTE TABLOSU'!$F:$F,'İL-İLÇE BAZINDA KAPASİTE'!$A92,'KAPASİTE TABLOSU'!#REF!)</f>
        <v>#REF!</v>
      </c>
      <c r="D92" s="14" t="e">
        <f>SUMIF('KAPASİTE TABLOSU'!$F:$F,'İL-İLÇE BAZINDA KAPASİTE'!$A92,'KAPASİTE TABLOSU'!#REF!)</f>
        <v>#REF!</v>
      </c>
      <c r="E92" s="14" t="e">
        <f>SUMIF('KAPASİTE TABLOSU'!$F:$F,'İL-İLÇE BAZINDA KAPASİTE'!$A92,'KAPASİTE TABLOSU'!#REF!)</f>
        <v>#REF!</v>
      </c>
      <c r="F92" s="12" t="str">
        <f t="shared" si="4"/>
        <v>İLÇE</v>
      </c>
      <c r="G92" s="12" t="s">
        <v>87</v>
      </c>
      <c r="H92" s="3" t="s">
        <v>91</v>
      </c>
    </row>
    <row r="93" spans="1:8" x14ac:dyDescent="0.25">
      <c r="A93" s="13" t="s">
        <v>703</v>
      </c>
      <c r="B93" s="14">
        <f>COUNTIF('KAPASİTE TABLOSU'!F:F,'İL-İLÇE BAZINDA KAPASİTE'!A93)</f>
        <v>0</v>
      </c>
      <c r="C93" s="14" t="e">
        <f>SUMIF('KAPASİTE TABLOSU'!$F:$F,'İL-İLÇE BAZINDA KAPASİTE'!$A93,'KAPASİTE TABLOSU'!#REF!)</f>
        <v>#REF!</v>
      </c>
      <c r="D93" s="14" t="e">
        <f>SUMIF('KAPASİTE TABLOSU'!$F:$F,'İL-İLÇE BAZINDA KAPASİTE'!$A93,'KAPASİTE TABLOSU'!#REF!)</f>
        <v>#REF!</v>
      </c>
      <c r="E93" s="14" t="e">
        <f>SUMIF('KAPASİTE TABLOSU'!$F:$F,'İL-İLÇE BAZINDA KAPASİTE'!$A93,'KAPASİTE TABLOSU'!#REF!)</f>
        <v>#REF!</v>
      </c>
      <c r="F93" s="12" t="str">
        <f t="shared" si="4"/>
        <v>İLÇE</v>
      </c>
      <c r="G93" s="12" t="s">
        <v>87</v>
      </c>
      <c r="H93" s="3" t="s">
        <v>89</v>
      </c>
    </row>
    <row r="94" spans="1:8" x14ac:dyDescent="0.25">
      <c r="A94" s="13" t="s">
        <v>704</v>
      </c>
      <c r="B94" s="14">
        <f>COUNTIF('KAPASİTE TABLOSU'!F:F,'İL-İLÇE BAZINDA KAPASİTE'!A94)</f>
        <v>0</v>
      </c>
      <c r="C94" s="14" t="e">
        <f>SUMIF('KAPASİTE TABLOSU'!$F:$F,'İL-İLÇE BAZINDA KAPASİTE'!$A94,'KAPASİTE TABLOSU'!#REF!)</f>
        <v>#REF!</v>
      </c>
      <c r="D94" s="14" t="e">
        <f>SUMIF('KAPASİTE TABLOSU'!$F:$F,'İL-İLÇE BAZINDA KAPASİTE'!$A94,'KAPASİTE TABLOSU'!#REF!)</f>
        <v>#REF!</v>
      </c>
      <c r="E94" s="14" t="e">
        <f>SUMIF('KAPASİTE TABLOSU'!$F:$F,'İL-İLÇE BAZINDA KAPASİTE'!$A94,'KAPASİTE TABLOSU'!#REF!)</f>
        <v>#REF!</v>
      </c>
      <c r="F94" s="12" t="str">
        <f t="shared" si="4"/>
        <v>İLÇE</v>
      </c>
      <c r="G94" s="12" t="s">
        <v>87</v>
      </c>
      <c r="H94" s="3" t="s">
        <v>90</v>
      </c>
    </row>
    <row r="95" spans="1:8" x14ac:dyDescent="0.25">
      <c r="A95" s="13" t="s">
        <v>705</v>
      </c>
      <c r="B95" s="14">
        <f>COUNTIF('KAPASİTE TABLOSU'!F:F,'İL-İLÇE BAZINDA KAPASİTE'!A95)</f>
        <v>0</v>
      </c>
      <c r="C95" s="14" t="e">
        <f>SUMIF('KAPASİTE TABLOSU'!$F:$F,'İL-İLÇE BAZINDA KAPASİTE'!$A95,'KAPASİTE TABLOSU'!#REF!)</f>
        <v>#REF!</v>
      </c>
      <c r="D95" s="14" t="e">
        <f>SUMIF('KAPASİTE TABLOSU'!$F:$F,'İL-İLÇE BAZINDA KAPASİTE'!$A95,'KAPASİTE TABLOSU'!#REF!)</f>
        <v>#REF!</v>
      </c>
      <c r="E95" s="14" t="e">
        <f>SUMIF('KAPASİTE TABLOSU'!$F:$F,'İL-İLÇE BAZINDA KAPASİTE'!$A95,'KAPASİTE TABLOSU'!#REF!)</f>
        <v>#REF!</v>
      </c>
      <c r="F95" s="12" t="str">
        <f t="shared" si="4"/>
        <v>İL</v>
      </c>
      <c r="G95" s="12" t="s">
        <v>102</v>
      </c>
      <c r="H95" s="3" t="s">
        <v>102</v>
      </c>
    </row>
    <row r="96" spans="1:8" x14ac:dyDescent="0.25">
      <c r="A96" s="13" t="s">
        <v>706</v>
      </c>
      <c r="B96" s="14">
        <f>COUNTIF('KAPASİTE TABLOSU'!F:F,'İL-İLÇE BAZINDA KAPASİTE'!A96)</f>
        <v>0</v>
      </c>
      <c r="C96" s="14" t="e">
        <f>SUMIF('KAPASİTE TABLOSU'!$F:$F,'İL-İLÇE BAZINDA KAPASİTE'!$A96,'KAPASİTE TABLOSU'!#REF!)</f>
        <v>#REF!</v>
      </c>
      <c r="D96" s="14" t="e">
        <f>SUMIF('KAPASİTE TABLOSU'!$F:$F,'İL-İLÇE BAZINDA KAPASİTE'!$A96,'KAPASİTE TABLOSU'!#REF!)</f>
        <v>#REF!</v>
      </c>
      <c r="E96" s="14" t="e">
        <f>SUMIF('KAPASİTE TABLOSU'!$F:$F,'İL-İLÇE BAZINDA KAPASİTE'!$A96,'KAPASİTE TABLOSU'!#REF!)</f>
        <v>#REF!</v>
      </c>
      <c r="F96" s="12" t="str">
        <f t="shared" si="4"/>
        <v>İLÇE</v>
      </c>
      <c r="G96" s="12" t="s">
        <v>102</v>
      </c>
      <c r="H96" s="3" t="s">
        <v>103</v>
      </c>
    </row>
    <row r="97" spans="1:8" x14ac:dyDescent="0.25">
      <c r="A97" s="13" t="s">
        <v>707</v>
      </c>
      <c r="B97" s="14">
        <f>COUNTIF('KAPASİTE TABLOSU'!F:F,'İL-İLÇE BAZINDA KAPASİTE'!A97)</f>
        <v>0</v>
      </c>
      <c r="C97" s="14" t="e">
        <f>SUMIF('KAPASİTE TABLOSU'!$F:$F,'İL-İLÇE BAZINDA KAPASİTE'!$A97,'KAPASİTE TABLOSU'!#REF!)</f>
        <v>#REF!</v>
      </c>
      <c r="D97" s="14" t="e">
        <f>SUMIF('KAPASİTE TABLOSU'!$F:$F,'İL-İLÇE BAZINDA KAPASİTE'!$A97,'KAPASİTE TABLOSU'!#REF!)</f>
        <v>#REF!</v>
      </c>
      <c r="E97" s="14" t="e">
        <f>SUMIF('KAPASİTE TABLOSU'!$F:$F,'İL-İLÇE BAZINDA KAPASİTE'!$A97,'KAPASİTE TABLOSU'!#REF!)</f>
        <v>#REF!</v>
      </c>
      <c r="F97" s="12" t="str">
        <f t="shared" si="4"/>
        <v>İL</v>
      </c>
      <c r="G97" s="12" t="s">
        <v>112</v>
      </c>
      <c r="H97" s="3" t="s">
        <v>112</v>
      </c>
    </row>
    <row r="98" spans="1:8" x14ac:dyDescent="0.25">
      <c r="A98" s="13" t="s">
        <v>708</v>
      </c>
      <c r="B98" s="14">
        <f>COUNTIF('KAPASİTE TABLOSU'!F:F,'İL-İLÇE BAZINDA KAPASİTE'!A98)</f>
        <v>0</v>
      </c>
      <c r="C98" s="14" t="e">
        <f>SUMIF('KAPASİTE TABLOSU'!$F:$F,'İL-İLÇE BAZINDA KAPASİTE'!$A98,'KAPASİTE TABLOSU'!#REF!)</f>
        <v>#REF!</v>
      </c>
      <c r="D98" s="14" t="e">
        <f>SUMIF('KAPASİTE TABLOSU'!$F:$F,'İL-İLÇE BAZINDA KAPASİTE'!$A98,'KAPASİTE TABLOSU'!#REF!)</f>
        <v>#REF!</v>
      </c>
      <c r="E98" s="14" t="e">
        <f>SUMIF('KAPASİTE TABLOSU'!$F:$F,'İL-İLÇE BAZINDA KAPASİTE'!$A98,'KAPASİTE TABLOSU'!#REF!)</f>
        <v>#REF!</v>
      </c>
      <c r="F98" s="12" t="str">
        <f t="shared" si="4"/>
        <v>İLÇE</v>
      </c>
      <c r="G98" s="12" t="s">
        <v>112</v>
      </c>
      <c r="H98" s="3" t="s">
        <v>113</v>
      </c>
    </row>
    <row r="99" spans="1:8" x14ac:dyDescent="0.25">
      <c r="A99" s="13" t="s">
        <v>913</v>
      </c>
      <c r="B99" s="14">
        <f>COUNTIF('KAPASİTE TABLOSU'!F:F,'İL-İLÇE BAZINDA KAPASİTE'!A99)</f>
        <v>0</v>
      </c>
      <c r="C99" s="14" t="e">
        <f>SUMIF('KAPASİTE TABLOSU'!$F:$F,'İL-İLÇE BAZINDA KAPASİTE'!$A99,'KAPASİTE TABLOSU'!#REF!)</f>
        <v>#REF!</v>
      </c>
      <c r="D99" s="14" t="e">
        <f>SUMIF('KAPASİTE TABLOSU'!$F:$F,'İL-İLÇE BAZINDA KAPASİTE'!$A99,'KAPASİTE TABLOSU'!#REF!)</f>
        <v>#REF!</v>
      </c>
      <c r="E99" s="14" t="e">
        <f>SUMIF('KAPASİTE TABLOSU'!$F:$F,'İL-İLÇE BAZINDA KAPASİTE'!$A99,'KAPASİTE TABLOSU'!#REF!)</f>
        <v>#REF!</v>
      </c>
      <c r="F99" s="12" t="str">
        <f t="shared" si="4"/>
        <v>İLÇE</v>
      </c>
      <c r="G99" s="12" t="s">
        <v>112</v>
      </c>
      <c r="H99" s="3" t="s">
        <v>910</v>
      </c>
    </row>
    <row r="100" spans="1:8" x14ac:dyDescent="0.25">
      <c r="A100" s="13" t="s">
        <v>709</v>
      </c>
      <c r="B100" s="14">
        <f>COUNTIF('KAPASİTE TABLOSU'!F:F,'İL-İLÇE BAZINDA KAPASİTE'!A100)</f>
        <v>0</v>
      </c>
      <c r="C100" s="14" t="e">
        <f>SUMIF('KAPASİTE TABLOSU'!$F:$F,'İL-İLÇE BAZINDA KAPASİTE'!$A100,'KAPASİTE TABLOSU'!#REF!)</f>
        <v>#REF!</v>
      </c>
      <c r="D100" s="14" t="e">
        <f>SUMIF('KAPASİTE TABLOSU'!$F:$F,'İL-İLÇE BAZINDA KAPASİTE'!$A100,'KAPASİTE TABLOSU'!#REF!)</f>
        <v>#REF!</v>
      </c>
      <c r="E100" s="14" t="e">
        <f>SUMIF('KAPASİTE TABLOSU'!$F:$F,'İL-İLÇE BAZINDA KAPASİTE'!$A100,'KAPASİTE TABLOSU'!#REF!)</f>
        <v>#REF!</v>
      </c>
      <c r="F100" s="12" t="str">
        <f t="shared" si="4"/>
        <v>İL</v>
      </c>
      <c r="G100" s="12" t="s">
        <v>186</v>
      </c>
      <c r="H100" s="3" t="s">
        <v>186</v>
      </c>
    </row>
    <row r="101" spans="1:8" x14ac:dyDescent="0.25">
      <c r="A101" s="13" t="s">
        <v>710</v>
      </c>
      <c r="B101" s="14">
        <f>COUNTIF('KAPASİTE TABLOSU'!F:F,'İL-İLÇE BAZINDA KAPASİTE'!A101)</f>
        <v>0</v>
      </c>
      <c r="C101" s="14" t="e">
        <f>SUMIF('KAPASİTE TABLOSU'!$F:$F,'İL-İLÇE BAZINDA KAPASİTE'!$A101,'KAPASİTE TABLOSU'!#REF!)</f>
        <v>#REF!</v>
      </c>
      <c r="D101" s="14" t="e">
        <f>SUMIF('KAPASİTE TABLOSU'!$F:$F,'İL-İLÇE BAZINDA KAPASİTE'!$A101,'KAPASİTE TABLOSU'!#REF!)</f>
        <v>#REF!</v>
      </c>
      <c r="E101" s="14" t="e">
        <f>SUMIF('KAPASİTE TABLOSU'!$F:$F,'İL-İLÇE BAZINDA KAPASİTE'!$A101,'KAPASİTE TABLOSU'!#REF!)</f>
        <v>#REF!</v>
      </c>
      <c r="F101" s="12" t="str">
        <f t="shared" si="4"/>
        <v>İLÇE</v>
      </c>
      <c r="G101" s="12" t="s">
        <v>186</v>
      </c>
      <c r="H101" s="3" t="s">
        <v>548</v>
      </c>
    </row>
    <row r="102" spans="1:8" x14ac:dyDescent="0.25">
      <c r="A102" s="13" t="s">
        <v>711</v>
      </c>
      <c r="B102" s="14">
        <f>COUNTIF('KAPASİTE TABLOSU'!F:F,'İL-İLÇE BAZINDA KAPASİTE'!A102)</f>
        <v>0</v>
      </c>
      <c r="C102" s="14" t="e">
        <f>SUMIF('KAPASİTE TABLOSU'!$F:$F,'İL-İLÇE BAZINDA KAPASİTE'!$A102,'KAPASİTE TABLOSU'!#REF!)</f>
        <v>#REF!</v>
      </c>
      <c r="D102" s="14" t="e">
        <f>SUMIF('KAPASİTE TABLOSU'!$F:$F,'İL-İLÇE BAZINDA KAPASİTE'!$A102,'KAPASİTE TABLOSU'!#REF!)</f>
        <v>#REF!</v>
      </c>
      <c r="E102" s="14" t="e">
        <f>SUMIF('KAPASİTE TABLOSU'!$F:$F,'İL-İLÇE BAZINDA KAPASİTE'!$A102,'KAPASİTE TABLOSU'!#REF!)</f>
        <v>#REF!</v>
      </c>
      <c r="F102" s="12" t="str">
        <f t="shared" si="4"/>
        <v>İLÇE</v>
      </c>
      <c r="G102" s="12" t="s">
        <v>186</v>
      </c>
      <c r="H102" s="3" t="s">
        <v>187</v>
      </c>
    </row>
    <row r="103" spans="1:8" x14ac:dyDescent="0.25">
      <c r="A103" s="13" t="s">
        <v>712</v>
      </c>
      <c r="B103" s="14">
        <f>COUNTIF('KAPASİTE TABLOSU'!F:F,'İL-İLÇE BAZINDA KAPASİTE'!A103)</f>
        <v>0</v>
      </c>
      <c r="C103" s="14" t="e">
        <f>SUMIF('KAPASİTE TABLOSU'!$F:$F,'İL-İLÇE BAZINDA KAPASİTE'!$A103,'KAPASİTE TABLOSU'!#REF!)</f>
        <v>#REF!</v>
      </c>
      <c r="D103" s="14" t="e">
        <f>SUMIF('KAPASİTE TABLOSU'!$F:$F,'İL-İLÇE BAZINDA KAPASİTE'!$A103,'KAPASİTE TABLOSU'!#REF!)</f>
        <v>#REF!</v>
      </c>
      <c r="E103" s="14" t="e">
        <f>SUMIF('KAPASİTE TABLOSU'!$F:$F,'İL-İLÇE BAZINDA KAPASİTE'!$A103,'KAPASİTE TABLOSU'!#REF!)</f>
        <v>#REF!</v>
      </c>
      <c r="F103" s="12" t="str">
        <f t="shared" si="4"/>
        <v>İLÇE</v>
      </c>
      <c r="G103" s="12" t="s">
        <v>186</v>
      </c>
      <c r="H103" s="3" t="s">
        <v>536</v>
      </c>
    </row>
    <row r="104" spans="1:8" x14ac:dyDescent="0.25">
      <c r="A104" s="13" t="s">
        <v>713</v>
      </c>
      <c r="B104" s="14">
        <f>COUNTIF('KAPASİTE TABLOSU'!F:F,'İL-İLÇE BAZINDA KAPASİTE'!A104)</f>
        <v>0</v>
      </c>
      <c r="C104" s="14" t="e">
        <f>SUMIF('KAPASİTE TABLOSU'!$F:$F,'İL-İLÇE BAZINDA KAPASİTE'!$A104,'KAPASİTE TABLOSU'!#REF!)</f>
        <v>#REF!</v>
      </c>
      <c r="D104" s="14" t="e">
        <f>SUMIF('KAPASİTE TABLOSU'!$F:$F,'İL-İLÇE BAZINDA KAPASİTE'!$A104,'KAPASİTE TABLOSU'!#REF!)</f>
        <v>#REF!</v>
      </c>
      <c r="E104" s="14" t="e">
        <f>SUMIF('KAPASİTE TABLOSU'!$F:$F,'İL-İLÇE BAZINDA KAPASİTE'!$A104,'KAPASİTE TABLOSU'!#REF!)</f>
        <v>#REF!</v>
      </c>
      <c r="F104" s="12" t="str">
        <f t="shared" si="4"/>
        <v>İLÇE</v>
      </c>
      <c r="G104" s="12" t="s">
        <v>186</v>
      </c>
      <c r="H104" s="3" t="s">
        <v>492</v>
      </c>
    </row>
    <row r="105" spans="1:8" x14ac:dyDescent="0.25">
      <c r="A105" s="13" t="s">
        <v>714</v>
      </c>
      <c r="B105" s="14">
        <f>COUNTIF('KAPASİTE TABLOSU'!F:F,'İL-İLÇE BAZINDA KAPASİTE'!A105)</f>
        <v>0</v>
      </c>
      <c r="C105" s="14" t="e">
        <f>SUMIF('KAPASİTE TABLOSU'!$F:$F,'İL-İLÇE BAZINDA KAPASİTE'!$A105,'KAPASİTE TABLOSU'!#REF!)</f>
        <v>#REF!</v>
      </c>
      <c r="D105" s="14" t="e">
        <f>SUMIF('KAPASİTE TABLOSU'!$F:$F,'İL-İLÇE BAZINDA KAPASİTE'!$A105,'KAPASİTE TABLOSU'!#REF!)</f>
        <v>#REF!</v>
      </c>
      <c r="E105" s="14" t="e">
        <f>SUMIF('KAPASİTE TABLOSU'!$F:$F,'İL-İLÇE BAZINDA KAPASİTE'!$A105,'KAPASİTE TABLOSU'!#REF!)</f>
        <v>#REF!</v>
      </c>
      <c r="F105" s="12" t="str">
        <f t="shared" si="4"/>
        <v>İLÇE</v>
      </c>
      <c r="G105" s="12" t="s">
        <v>186</v>
      </c>
      <c r="H105" s="3" t="s">
        <v>188</v>
      </c>
    </row>
    <row r="106" spans="1:8" x14ac:dyDescent="0.25">
      <c r="A106" s="13" t="s">
        <v>715</v>
      </c>
      <c r="B106" s="14">
        <f>COUNTIF('KAPASİTE TABLOSU'!F:F,'İL-İLÇE BAZINDA KAPASİTE'!A106)</f>
        <v>0</v>
      </c>
      <c r="C106" s="14" t="e">
        <f>SUMIF('KAPASİTE TABLOSU'!$F:$F,'İL-İLÇE BAZINDA KAPASİTE'!$A106,'KAPASİTE TABLOSU'!#REF!)</f>
        <v>#REF!</v>
      </c>
      <c r="D106" s="14" t="e">
        <f>SUMIF('KAPASİTE TABLOSU'!$F:$F,'İL-İLÇE BAZINDA KAPASİTE'!$A106,'KAPASİTE TABLOSU'!#REF!)</f>
        <v>#REF!</v>
      </c>
      <c r="E106" s="14" t="e">
        <f>SUMIF('KAPASİTE TABLOSU'!$F:$F,'İL-İLÇE BAZINDA KAPASİTE'!$A106,'KAPASİTE TABLOSU'!#REF!)</f>
        <v>#REF!</v>
      </c>
      <c r="F106" s="12" t="str">
        <f t="shared" si="4"/>
        <v>İL</v>
      </c>
      <c r="G106" s="12" t="s">
        <v>189</v>
      </c>
      <c r="H106" s="3" t="s">
        <v>189</v>
      </c>
    </row>
    <row r="107" spans="1:8" x14ac:dyDescent="0.25">
      <c r="A107" s="13" t="s">
        <v>716</v>
      </c>
      <c r="B107" s="14">
        <f>COUNTIF('KAPASİTE TABLOSU'!F:F,'İL-İLÇE BAZINDA KAPASİTE'!A107)</f>
        <v>0</v>
      </c>
      <c r="C107" s="14" t="e">
        <f>SUMIF('KAPASİTE TABLOSU'!$F:$F,'İL-İLÇE BAZINDA KAPASİTE'!$A107,'KAPASİTE TABLOSU'!#REF!)</f>
        <v>#REF!</v>
      </c>
      <c r="D107" s="14" t="e">
        <f>SUMIF('KAPASİTE TABLOSU'!$F:$F,'İL-İLÇE BAZINDA KAPASİTE'!$A107,'KAPASİTE TABLOSU'!#REF!)</f>
        <v>#REF!</v>
      </c>
      <c r="E107" s="14" t="e">
        <f>SUMIF('KAPASİTE TABLOSU'!$F:$F,'İL-İLÇE BAZINDA KAPASİTE'!$A107,'KAPASİTE TABLOSU'!#REF!)</f>
        <v>#REF!</v>
      </c>
      <c r="F107" s="12" t="str">
        <f t="shared" si="4"/>
        <v>İLÇE</v>
      </c>
      <c r="G107" s="12" t="s">
        <v>189</v>
      </c>
      <c r="H107" s="3" t="s">
        <v>190</v>
      </c>
    </row>
    <row r="108" spans="1:8" x14ac:dyDescent="0.25">
      <c r="A108" s="13" t="s">
        <v>878</v>
      </c>
      <c r="B108" s="14">
        <f>COUNTIF('KAPASİTE TABLOSU'!F:F,'İL-İLÇE BAZINDA KAPASİTE'!A108)</f>
        <v>0</v>
      </c>
      <c r="C108" s="14" t="e">
        <f>SUMIF('KAPASİTE TABLOSU'!$F:$F,'İL-İLÇE BAZINDA KAPASİTE'!$A108,'KAPASİTE TABLOSU'!#REF!)</f>
        <v>#REF!</v>
      </c>
      <c r="D108" s="14" t="e">
        <f>SUMIF('KAPASİTE TABLOSU'!$F:$F,'İL-İLÇE BAZINDA KAPASİTE'!$A108,'KAPASİTE TABLOSU'!#REF!)</f>
        <v>#REF!</v>
      </c>
      <c r="E108" s="14" t="e">
        <f>SUMIF('KAPASİTE TABLOSU'!$F:$F,'İL-İLÇE BAZINDA KAPASİTE'!$A108,'KAPASİTE TABLOSU'!#REF!)</f>
        <v>#REF!</v>
      </c>
      <c r="F108" s="12" t="str">
        <f t="shared" si="4"/>
        <v>İLÇE</v>
      </c>
      <c r="G108" s="12" t="s">
        <v>189</v>
      </c>
      <c r="H108" s="3" t="s">
        <v>875</v>
      </c>
    </row>
    <row r="109" spans="1:8" x14ac:dyDescent="0.25">
      <c r="A109" s="13" t="s">
        <v>717</v>
      </c>
      <c r="B109" s="14">
        <f>COUNTIF('KAPASİTE TABLOSU'!F:F,'İL-İLÇE BAZINDA KAPASİTE'!A109)</f>
        <v>0</v>
      </c>
      <c r="C109" s="14" t="e">
        <f>SUMIF('KAPASİTE TABLOSU'!$F:$F,'İL-İLÇE BAZINDA KAPASİTE'!$A109,'KAPASİTE TABLOSU'!#REF!)</f>
        <v>#REF!</v>
      </c>
      <c r="D109" s="14" t="e">
        <f>SUMIF('KAPASİTE TABLOSU'!$F:$F,'İL-İLÇE BAZINDA KAPASİTE'!$A109,'KAPASİTE TABLOSU'!#REF!)</f>
        <v>#REF!</v>
      </c>
      <c r="E109" s="14" t="e">
        <f>SUMIF('KAPASİTE TABLOSU'!$F:$F,'İL-İLÇE BAZINDA KAPASİTE'!$A109,'KAPASİTE TABLOSU'!#REF!)</f>
        <v>#REF!</v>
      </c>
      <c r="F109" s="12" t="str">
        <f t="shared" si="4"/>
        <v>İL</v>
      </c>
      <c r="G109" s="12" t="s">
        <v>208</v>
      </c>
      <c r="H109" s="3" t="s">
        <v>208</v>
      </c>
    </row>
    <row r="110" spans="1:8" x14ac:dyDescent="0.25">
      <c r="A110" s="13" t="s">
        <v>718</v>
      </c>
      <c r="B110" s="14">
        <f>COUNTIF('KAPASİTE TABLOSU'!F:F,'İL-İLÇE BAZINDA KAPASİTE'!A110)</f>
        <v>0</v>
      </c>
      <c r="C110" s="14" t="e">
        <f>SUMIF('KAPASİTE TABLOSU'!$F:$F,'İL-İLÇE BAZINDA KAPASİTE'!$A110,'KAPASİTE TABLOSU'!#REF!)</f>
        <v>#REF!</v>
      </c>
      <c r="D110" s="14" t="e">
        <f>SUMIF('KAPASİTE TABLOSU'!$F:$F,'İL-İLÇE BAZINDA KAPASİTE'!$A110,'KAPASİTE TABLOSU'!#REF!)</f>
        <v>#REF!</v>
      </c>
      <c r="E110" s="14" t="e">
        <f>SUMIF('KAPASİTE TABLOSU'!$F:$F,'İL-İLÇE BAZINDA KAPASİTE'!$A110,'KAPASİTE TABLOSU'!#REF!)</f>
        <v>#REF!</v>
      </c>
      <c r="F110" s="12" t="str">
        <f t="shared" si="4"/>
        <v>İL</v>
      </c>
      <c r="G110" s="12" t="s">
        <v>9</v>
      </c>
      <c r="H110" s="3" t="s">
        <v>9</v>
      </c>
    </row>
    <row r="111" spans="1:8" x14ac:dyDescent="0.25">
      <c r="A111" s="13" t="s">
        <v>719</v>
      </c>
      <c r="B111" s="14">
        <f>COUNTIF('KAPASİTE TABLOSU'!F:F,'İL-İLÇE BAZINDA KAPASİTE'!A111)</f>
        <v>0</v>
      </c>
      <c r="C111" s="14" t="e">
        <f>SUMIF('KAPASİTE TABLOSU'!$F:$F,'İL-İLÇE BAZINDA KAPASİTE'!$A111,'KAPASİTE TABLOSU'!#REF!)</f>
        <v>#REF!</v>
      </c>
      <c r="D111" s="14" t="e">
        <f>SUMIF('KAPASİTE TABLOSU'!$F:$F,'İL-İLÇE BAZINDA KAPASİTE'!$A111,'KAPASİTE TABLOSU'!#REF!)</f>
        <v>#REF!</v>
      </c>
      <c r="E111" s="14" t="e">
        <f>SUMIF('KAPASİTE TABLOSU'!$F:$F,'İL-İLÇE BAZINDA KAPASİTE'!$A111,'KAPASİTE TABLOSU'!#REF!)</f>
        <v>#REF!</v>
      </c>
      <c r="F111" s="12" t="str">
        <f t="shared" ref="F111" si="5">IF(G111=H111,"İL","İLÇE")</f>
        <v>İLÇE</v>
      </c>
      <c r="G111" s="12" t="s">
        <v>9</v>
      </c>
      <c r="H111" s="3" t="s">
        <v>10</v>
      </c>
    </row>
    <row r="112" spans="1:8" x14ac:dyDescent="0.25">
      <c r="A112" s="13" t="s">
        <v>1116</v>
      </c>
      <c r="B112" s="14">
        <f>COUNTIF('KAPASİTE TABLOSU'!F:F,'İL-İLÇE BAZINDA KAPASİTE'!A112)</f>
        <v>0</v>
      </c>
      <c r="C112" s="14" t="e">
        <f>SUMIF('KAPASİTE TABLOSU'!$F:$F,'İL-İLÇE BAZINDA KAPASİTE'!$A112,'KAPASİTE TABLOSU'!#REF!)</f>
        <v>#REF!</v>
      </c>
      <c r="D112" s="14" t="e">
        <f>SUMIF('KAPASİTE TABLOSU'!$F:$F,'İL-İLÇE BAZINDA KAPASİTE'!$A112,'KAPASİTE TABLOSU'!#REF!)</f>
        <v>#REF!</v>
      </c>
      <c r="E112" s="14" t="e">
        <f>SUMIF('KAPASİTE TABLOSU'!$F:$F,'İL-İLÇE BAZINDA KAPASİTE'!$A112,'KAPASİTE TABLOSU'!#REF!)</f>
        <v>#REF!</v>
      </c>
      <c r="F112" s="12" t="str">
        <f t="shared" si="4"/>
        <v>İLÇE</v>
      </c>
      <c r="G112" s="12" t="s">
        <v>9</v>
      </c>
      <c r="H112" s="3" t="s">
        <v>10</v>
      </c>
    </row>
    <row r="113" spans="1:8" x14ac:dyDescent="0.25">
      <c r="A113" s="13" t="s">
        <v>720</v>
      </c>
      <c r="B113" s="14">
        <f>COUNTIF('KAPASİTE TABLOSU'!F:F,'İL-İLÇE BAZINDA KAPASİTE'!A113)</f>
        <v>0</v>
      </c>
      <c r="C113" s="14" t="e">
        <f>SUMIF('KAPASİTE TABLOSU'!$F:$F,'İL-İLÇE BAZINDA KAPASİTE'!$A113,'KAPASİTE TABLOSU'!#REF!)</f>
        <v>#REF!</v>
      </c>
      <c r="D113" s="14" t="e">
        <f>SUMIF('KAPASİTE TABLOSU'!$F:$F,'İL-İLÇE BAZINDA KAPASİTE'!$A113,'KAPASİTE TABLOSU'!#REF!)</f>
        <v>#REF!</v>
      </c>
      <c r="E113" s="14" t="e">
        <f>SUMIF('KAPASİTE TABLOSU'!$F:$F,'İL-İLÇE BAZINDA KAPASİTE'!$A113,'KAPASİTE TABLOSU'!#REF!)</f>
        <v>#REF!</v>
      </c>
      <c r="F113" s="12" t="str">
        <f t="shared" si="4"/>
        <v>İL</v>
      </c>
      <c r="G113" s="12" t="s">
        <v>100</v>
      </c>
      <c r="H113" s="3" t="s">
        <v>100</v>
      </c>
    </row>
    <row r="114" spans="1:8" x14ac:dyDescent="0.25">
      <c r="A114" s="13" t="s">
        <v>721</v>
      </c>
      <c r="B114" s="14">
        <f>COUNTIF('KAPASİTE TABLOSU'!F:F,'İL-İLÇE BAZINDA KAPASİTE'!A114)</f>
        <v>0</v>
      </c>
      <c r="C114" s="14" t="e">
        <f>SUMIF('KAPASİTE TABLOSU'!$F:$F,'İL-İLÇE BAZINDA KAPASİTE'!$A114,'KAPASİTE TABLOSU'!#REF!)</f>
        <v>#REF!</v>
      </c>
      <c r="D114" s="14" t="e">
        <f>SUMIF('KAPASİTE TABLOSU'!$F:$F,'İL-İLÇE BAZINDA KAPASİTE'!$A114,'KAPASİTE TABLOSU'!#REF!)</f>
        <v>#REF!</v>
      </c>
      <c r="E114" s="14" t="e">
        <f>SUMIF('KAPASİTE TABLOSU'!$F:$F,'İL-İLÇE BAZINDA KAPASİTE'!$A114,'KAPASİTE TABLOSU'!#REF!)</f>
        <v>#REF!</v>
      </c>
      <c r="F114" s="12" t="str">
        <f t="shared" si="4"/>
        <v>İL</v>
      </c>
      <c r="G114" s="12" t="s">
        <v>30</v>
      </c>
      <c r="H114" s="3" t="s">
        <v>30</v>
      </c>
    </row>
    <row r="115" spans="1:8" x14ac:dyDescent="0.25">
      <c r="A115" s="13" t="s">
        <v>722</v>
      </c>
      <c r="B115" s="14">
        <f>COUNTIF('KAPASİTE TABLOSU'!F:F,'İL-İLÇE BAZINDA KAPASİTE'!A115)</f>
        <v>0</v>
      </c>
      <c r="C115" s="14" t="e">
        <f>SUMIF('KAPASİTE TABLOSU'!$F:$F,'İL-İLÇE BAZINDA KAPASİTE'!$A115,'KAPASİTE TABLOSU'!#REF!)</f>
        <v>#REF!</v>
      </c>
      <c r="D115" s="14" t="e">
        <f>SUMIF('KAPASİTE TABLOSU'!$F:$F,'İL-İLÇE BAZINDA KAPASİTE'!$A115,'KAPASİTE TABLOSU'!#REF!)</f>
        <v>#REF!</v>
      </c>
      <c r="E115" s="14" t="e">
        <f>SUMIF('KAPASİTE TABLOSU'!$F:$F,'İL-İLÇE BAZINDA KAPASİTE'!$A115,'KAPASİTE TABLOSU'!#REF!)</f>
        <v>#REF!</v>
      </c>
      <c r="F115" s="12" t="str">
        <f t="shared" si="4"/>
        <v>İLÇE</v>
      </c>
      <c r="G115" s="12" t="s">
        <v>30</v>
      </c>
      <c r="H115" s="3" t="s">
        <v>31</v>
      </c>
    </row>
    <row r="116" spans="1:8" x14ac:dyDescent="0.25">
      <c r="A116" s="13" t="s">
        <v>723</v>
      </c>
      <c r="B116" s="14">
        <f>COUNTIF('KAPASİTE TABLOSU'!F:F,'İL-İLÇE BAZINDA KAPASİTE'!A116)</f>
        <v>0</v>
      </c>
      <c r="C116" s="14" t="e">
        <f>SUMIF('KAPASİTE TABLOSU'!$F:$F,'İL-İLÇE BAZINDA KAPASİTE'!$A116,'KAPASİTE TABLOSU'!#REF!)</f>
        <v>#REF!</v>
      </c>
      <c r="D116" s="14" t="e">
        <f>SUMIF('KAPASİTE TABLOSU'!$F:$F,'İL-İLÇE BAZINDA KAPASİTE'!$A116,'KAPASİTE TABLOSU'!#REF!)</f>
        <v>#REF!</v>
      </c>
      <c r="E116" s="14" t="e">
        <f>SUMIF('KAPASİTE TABLOSU'!$F:$F,'İL-İLÇE BAZINDA KAPASİTE'!$A116,'KAPASİTE TABLOSU'!#REF!)</f>
        <v>#REF!</v>
      </c>
      <c r="F116" s="12" t="str">
        <f t="shared" si="4"/>
        <v>İLÇE</v>
      </c>
      <c r="G116" s="12" t="s">
        <v>30</v>
      </c>
      <c r="H116" s="3" t="s">
        <v>32</v>
      </c>
    </row>
    <row r="117" spans="1:8" x14ac:dyDescent="0.25">
      <c r="A117" s="13" t="s">
        <v>724</v>
      </c>
      <c r="B117" s="14">
        <f>COUNTIF('KAPASİTE TABLOSU'!F:F,'İL-İLÇE BAZINDA KAPASİTE'!A117)</f>
        <v>0</v>
      </c>
      <c r="C117" s="14" t="e">
        <f>SUMIF('KAPASİTE TABLOSU'!$F:$F,'İL-İLÇE BAZINDA KAPASİTE'!$A117,'KAPASİTE TABLOSU'!#REF!)</f>
        <v>#REF!</v>
      </c>
      <c r="D117" s="14" t="e">
        <f>SUMIF('KAPASİTE TABLOSU'!$F:$F,'İL-İLÇE BAZINDA KAPASİTE'!$A117,'KAPASİTE TABLOSU'!#REF!)</f>
        <v>#REF!</v>
      </c>
      <c r="E117" s="14" t="e">
        <f>SUMIF('KAPASİTE TABLOSU'!$F:$F,'İL-İLÇE BAZINDA KAPASİTE'!$A117,'KAPASİTE TABLOSU'!#REF!)</f>
        <v>#REF!</v>
      </c>
      <c r="F117" s="12" t="str">
        <f t="shared" si="4"/>
        <v>İLÇE</v>
      </c>
      <c r="G117" s="12" t="s">
        <v>30</v>
      </c>
      <c r="H117" s="3" t="s">
        <v>34</v>
      </c>
    </row>
    <row r="118" spans="1:8" x14ac:dyDescent="0.25">
      <c r="A118" s="13" t="s">
        <v>725</v>
      </c>
      <c r="B118" s="14">
        <f>COUNTIF('KAPASİTE TABLOSU'!F:F,'İL-İLÇE BAZINDA KAPASİTE'!A118)</f>
        <v>0</v>
      </c>
      <c r="C118" s="14" t="e">
        <f>SUMIF('KAPASİTE TABLOSU'!$F:$F,'İL-İLÇE BAZINDA KAPASİTE'!$A118,'KAPASİTE TABLOSU'!#REF!)</f>
        <v>#REF!</v>
      </c>
      <c r="D118" s="14" t="e">
        <f>SUMIF('KAPASİTE TABLOSU'!$F:$F,'İL-İLÇE BAZINDA KAPASİTE'!$A118,'KAPASİTE TABLOSU'!#REF!)</f>
        <v>#REF!</v>
      </c>
      <c r="E118" s="14" t="e">
        <f>SUMIF('KAPASİTE TABLOSU'!$F:$F,'İL-İLÇE BAZINDA KAPASİTE'!$A118,'KAPASİTE TABLOSU'!#REF!)</f>
        <v>#REF!</v>
      </c>
      <c r="F118" s="12" t="str">
        <f t="shared" si="4"/>
        <v>İLÇE</v>
      </c>
      <c r="G118" s="12" t="s">
        <v>30</v>
      </c>
      <c r="H118" s="3" t="s">
        <v>33</v>
      </c>
    </row>
    <row r="119" spans="1:8" x14ac:dyDescent="0.25">
      <c r="A119" s="13" t="s">
        <v>885</v>
      </c>
      <c r="B119" s="14">
        <f>COUNTIF('KAPASİTE TABLOSU'!F:F,'İL-İLÇE BAZINDA KAPASİTE'!A119)</f>
        <v>0</v>
      </c>
      <c r="C119" s="14" t="e">
        <f>SUMIF('KAPASİTE TABLOSU'!$F:$F,'İL-İLÇE BAZINDA KAPASİTE'!$A119,'KAPASİTE TABLOSU'!#REF!)</f>
        <v>#REF!</v>
      </c>
      <c r="D119" s="14" t="e">
        <f>SUMIF('KAPASİTE TABLOSU'!$F:$F,'İL-İLÇE BAZINDA KAPASİTE'!$A119,'KAPASİTE TABLOSU'!#REF!)</f>
        <v>#REF!</v>
      </c>
      <c r="E119" s="14" t="e">
        <f>SUMIF('KAPASİTE TABLOSU'!$F:$F,'İL-İLÇE BAZINDA KAPASİTE'!$A119,'KAPASİTE TABLOSU'!#REF!)</f>
        <v>#REF!</v>
      </c>
      <c r="F119" s="12" t="str">
        <f t="shared" si="4"/>
        <v>İLÇE</v>
      </c>
      <c r="G119" s="12" t="s">
        <v>30</v>
      </c>
      <c r="H119" s="3" t="s">
        <v>883</v>
      </c>
    </row>
    <row r="120" spans="1:8" x14ac:dyDescent="0.25">
      <c r="A120" s="13" t="s">
        <v>726</v>
      </c>
      <c r="B120" s="14">
        <f>COUNTIF('KAPASİTE TABLOSU'!F:F,'İL-İLÇE BAZINDA KAPASİTE'!A120)</f>
        <v>0</v>
      </c>
      <c r="C120" s="14" t="e">
        <f>SUMIF('KAPASİTE TABLOSU'!$F:$F,'İL-İLÇE BAZINDA KAPASİTE'!$A120,'KAPASİTE TABLOSU'!#REF!)</f>
        <v>#REF!</v>
      </c>
      <c r="D120" s="14" t="e">
        <f>SUMIF('KAPASİTE TABLOSU'!$F:$F,'İL-İLÇE BAZINDA KAPASİTE'!$A120,'KAPASİTE TABLOSU'!#REF!)</f>
        <v>#REF!</v>
      </c>
      <c r="E120" s="14" t="e">
        <f>SUMIF('KAPASİTE TABLOSU'!$F:$F,'İL-İLÇE BAZINDA KAPASİTE'!$A120,'KAPASİTE TABLOSU'!#REF!)</f>
        <v>#REF!</v>
      </c>
      <c r="F120" s="12" t="str">
        <f t="shared" si="4"/>
        <v>İL</v>
      </c>
      <c r="G120" s="12" t="s">
        <v>119</v>
      </c>
      <c r="H120" s="3" t="s">
        <v>119</v>
      </c>
    </row>
    <row r="121" spans="1:8" x14ac:dyDescent="0.25">
      <c r="A121" s="13" t="s">
        <v>727</v>
      </c>
      <c r="B121" s="14">
        <f>COUNTIF('KAPASİTE TABLOSU'!F:F,'İL-İLÇE BAZINDA KAPASİTE'!A121)</f>
        <v>0</v>
      </c>
      <c r="C121" s="14" t="e">
        <f>SUMIF('KAPASİTE TABLOSU'!$F:$F,'İL-İLÇE BAZINDA KAPASİTE'!$A121,'KAPASİTE TABLOSU'!#REF!)</f>
        <v>#REF!</v>
      </c>
      <c r="D121" s="14" t="e">
        <f>SUMIF('KAPASİTE TABLOSU'!$F:$F,'İL-İLÇE BAZINDA KAPASİTE'!$A121,'KAPASİTE TABLOSU'!#REF!)</f>
        <v>#REF!</v>
      </c>
      <c r="E121" s="14" t="e">
        <f>SUMIF('KAPASİTE TABLOSU'!$F:$F,'İL-İLÇE BAZINDA KAPASİTE'!$A121,'KAPASİTE TABLOSU'!#REF!)</f>
        <v>#REF!</v>
      </c>
      <c r="F121" s="12" t="str">
        <f t="shared" si="4"/>
        <v>İL</v>
      </c>
      <c r="G121" s="12" t="s">
        <v>120</v>
      </c>
      <c r="H121" s="3" t="s">
        <v>120</v>
      </c>
    </row>
    <row r="122" spans="1:8" x14ac:dyDescent="0.25">
      <c r="A122" s="13" t="s">
        <v>728</v>
      </c>
      <c r="B122" s="14">
        <f>COUNTIF('KAPASİTE TABLOSU'!F:F,'İL-İLÇE BAZINDA KAPASİTE'!A122)</f>
        <v>0</v>
      </c>
      <c r="C122" s="14" t="e">
        <f>SUMIF('KAPASİTE TABLOSU'!$F:$F,'İL-İLÇE BAZINDA KAPASİTE'!$A122,'KAPASİTE TABLOSU'!#REF!)</f>
        <v>#REF!</v>
      </c>
      <c r="D122" s="14" t="e">
        <f>SUMIF('KAPASİTE TABLOSU'!$F:$F,'İL-İLÇE BAZINDA KAPASİTE'!$A122,'KAPASİTE TABLOSU'!#REF!)</f>
        <v>#REF!</v>
      </c>
      <c r="E122" s="14" t="e">
        <f>SUMIF('KAPASİTE TABLOSU'!$F:$F,'İL-İLÇE BAZINDA KAPASİTE'!$A122,'KAPASİTE TABLOSU'!#REF!)</f>
        <v>#REF!</v>
      </c>
      <c r="F122" s="12" t="str">
        <f t="shared" si="4"/>
        <v>İLÇE</v>
      </c>
      <c r="G122" s="12" t="s">
        <v>120</v>
      </c>
      <c r="H122" s="3" t="s">
        <v>121</v>
      </c>
    </row>
    <row r="123" spans="1:8" x14ac:dyDescent="0.25">
      <c r="A123" s="13" t="s">
        <v>729</v>
      </c>
      <c r="B123" s="14">
        <f>COUNTIF('KAPASİTE TABLOSU'!F:F,'İL-İLÇE BAZINDA KAPASİTE'!A123)</f>
        <v>0</v>
      </c>
      <c r="C123" s="14" t="e">
        <f>SUMIF('KAPASİTE TABLOSU'!$F:$F,'İL-İLÇE BAZINDA KAPASİTE'!$A123,'KAPASİTE TABLOSU'!#REF!)</f>
        <v>#REF!</v>
      </c>
      <c r="D123" s="14" t="e">
        <f>SUMIF('KAPASİTE TABLOSU'!$F:$F,'İL-İLÇE BAZINDA KAPASİTE'!$A123,'KAPASİTE TABLOSU'!#REF!)</f>
        <v>#REF!</v>
      </c>
      <c r="E123" s="14" t="e">
        <f>SUMIF('KAPASİTE TABLOSU'!$F:$F,'İL-İLÇE BAZINDA KAPASİTE'!$A123,'KAPASİTE TABLOSU'!#REF!)</f>
        <v>#REF!</v>
      </c>
      <c r="F123" s="12" t="str">
        <f t="shared" si="4"/>
        <v>İLÇE</v>
      </c>
      <c r="G123" s="12" t="s">
        <v>120</v>
      </c>
      <c r="H123" s="3" t="s">
        <v>491</v>
      </c>
    </row>
    <row r="124" spans="1:8" x14ac:dyDescent="0.25">
      <c r="A124" s="13" t="s">
        <v>909</v>
      </c>
      <c r="B124" s="14">
        <f>COUNTIF('KAPASİTE TABLOSU'!F:F,'İL-İLÇE BAZINDA KAPASİTE'!A124)</f>
        <v>0</v>
      </c>
      <c r="C124" s="14" t="e">
        <f>SUMIF('KAPASİTE TABLOSU'!$F:$F,'İL-İLÇE BAZINDA KAPASİTE'!$A124,'KAPASİTE TABLOSU'!#REF!)</f>
        <v>#REF!</v>
      </c>
      <c r="D124" s="14" t="e">
        <f>SUMIF('KAPASİTE TABLOSU'!$F:$F,'İL-İLÇE BAZINDA KAPASİTE'!$A124,'KAPASİTE TABLOSU'!#REF!)</f>
        <v>#REF!</v>
      </c>
      <c r="E124" s="14" t="e">
        <f>SUMIF('KAPASİTE TABLOSU'!$F:$F,'İL-İLÇE BAZINDA KAPASİTE'!$A124,'KAPASİTE TABLOSU'!#REF!)</f>
        <v>#REF!</v>
      </c>
      <c r="F124" s="12" t="str">
        <f t="shared" si="4"/>
        <v>İLÇE</v>
      </c>
      <c r="G124" s="12" t="s">
        <v>120</v>
      </c>
      <c r="H124" s="3" t="s">
        <v>907</v>
      </c>
    </row>
    <row r="125" spans="1:8" x14ac:dyDescent="0.25">
      <c r="A125" s="13" t="s">
        <v>730</v>
      </c>
      <c r="B125" s="14">
        <f>COUNTIF('KAPASİTE TABLOSU'!F:F,'İL-İLÇE BAZINDA KAPASİTE'!A125)</f>
        <v>0</v>
      </c>
      <c r="C125" s="14" t="e">
        <f>SUMIF('KAPASİTE TABLOSU'!$F:$F,'İL-İLÇE BAZINDA KAPASİTE'!$A125,'KAPASİTE TABLOSU'!#REF!)</f>
        <v>#REF!</v>
      </c>
      <c r="D125" s="14" t="e">
        <f>SUMIF('KAPASİTE TABLOSU'!$F:$F,'İL-İLÇE BAZINDA KAPASİTE'!$A125,'KAPASİTE TABLOSU'!#REF!)</f>
        <v>#REF!</v>
      </c>
      <c r="E125" s="14" t="e">
        <f>SUMIF('KAPASİTE TABLOSU'!$F:$F,'İL-İLÇE BAZINDA KAPASİTE'!$A125,'KAPASİTE TABLOSU'!#REF!)</f>
        <v>#REF!</v>
      </c>
      <c r="F125" s="12" t="str">
        <f t="shared" si="4"/>
        <v>İL</v>
      </c>
      <c r="G125" s="12" t="s">
        <v>487</v>
      </c>
      <c r="H125" s="3" t="s">
        <v>487</v>
      </c>
    </row>
    <row r="126" spans="1:8" x14ac:dyDescent="0.25">
      <c r="A126" s="13" t="s">
        <v>731</v>
      </c>
      <c r="B126" s="14">
        <f>COUNTIF('KAPASİTE TABLOSU'!F:F,'İL-İLÇE BAZINDA KAPASİTE'!A126)</f>
        <v>0</v>
      </c>
      <c r="C126" s="14" t="e">
        <f>SUMIF('KAPASİTE TABLOSU'!$F:$F,'İL-İLÇE BAZINDA KAPASİTE'!$A126,'KAPASİTE TABLOSU'!#REF!)</f>
        <v>#REF!</v>
      </c>
      <c r="D126" s="14" t="e">
        <f>SUMIF('KAPASİTE TABLOSU'!$F:$F,'İL-İLÇE BAZINDA KAPASİTE'!$A126,'KAPASİTE TABLOSU'!#REF!)</f>
        <v>#REF!</v>
      </c>
      <c r="E126" s="14" t="e">
        <f>SUMIF('KAPASİTE TABLOSU'!$F:$F,'İL-İLÇE BAZINDA KAPASİTE'!$A126,'KAPASİTE TABLOSU'!#REF!)</f>
        <v>#REF!</v>
      </c>
      <c r="F126" s="12" t="str">
        <f t="shared" si="4"/>
        <v>İLÇE</v>
      </c>
      <c r="G126" s="12" t="s">
        <v>487</v>
      </c>
      <c r="H126" s="3" t="s">
        <v>114</v>
      </c>
    </row>
    <row r="127" spans="1:8" x14ac:dyDescent="0.25">
      <c r="A127" s="13" t="s">
        <v>732</v>
      </c>
      <c r="B127" s="14">
        <f>COUNTIF('KAPASİTE TABLOSU'!F:F,'İL-İLÇE BAZINDA KAPASİTE'!A127)</f>
        <v>0</v>
      </c>
      <c r="C127" s="14" t="e">
        <f>SUMIF('KAPASİTE TABLOSU'!$F:$F,'İL-İLÇE BAZINDA KAPASİTE'!$A127,'KAPASİTE TABLOSU'!#REF!)</f>
        <v>#REF!</v>
      </c>
      <c r="D127" s="14" t="e">
        <f>SUMIF('KAPASİTE TABLOSU'!$F:$F,'İL-İLÇE BAZINDA KAPASİTE'!$A127,'KAPASİTE TABLOSU'!#REF!)</f>
        <v>#REF!</v>
      </c>
      <c r="E127" s="14" t="e">
        <f>SUMIF('KAPASİTE TABLOSU'!$F:$F,'İL-İLÇE BAZINDA KAPASİTE'!$A127,'KAPASİTE TABLOSU'!#REF!)</f>
        <v>#REF!</v>
      </c>
      <c r="F127" s="12" t="str">
        <f t="shared" si="4"/>
        <v>İLÇE</v>
      </c>
      <c r="G127" s="12" t="s">
        <v>487</v>
      </c>
      <c r="H127" s="3" t="s">
        <v>115</v>
      </c>
    </row>
    <row r="128" spans="1:8" x14ac:dyDescent="0.25">
      <c r="A128" s="13" t="s">
        <v>733</v>
      </c>
      <c r="B128" s="14">
        <f>COUNTIF('KAPASİTE TABLOSU'!F:F,'İL-İLÇE BAZINDA KAPASİTE'!A128)</f>
        <v>0</v>
      </c>
      <c r="C128" s="14" t="e">
        <f>SUMIF('KAPASİTE TABLOSU'!$F:$F,'İL-İLÇE BAZINDA KAPASİTE'!$A128,'KAPASİTE TABLOSU'!#REF!)</f>
        <v>#REF!</v>
      </c>
      <c r="D128" s="14" t="e">
        <f>SUMIF('KAPASİTE TABLOSU'!$F:$F,'İL-İLÇE BAZINDA KAPASİTE'!$A128,'KAPASİTE TABLOSU'!#REF!)</f>
        <v>#REF!</v>
      </c>
      <c r="E128" s="14" t="e">
        <f>SUMIF('KAPASİTE TABLOSU'!$F:$F,'İL-İLÇE BAZINDA KAPASİTE'!$A128,'KAPASİTE TABLOSU'!#REF!)</f>
        <v>#REF!</v>
      </c>
      <c r="F128" s="12" t="str">
        <f t="shared" si="4"/>
        <v>İLÇE</v>
      </c>
      <c r="G128" s="12" t="s">
        <v>487</v>
      </c>
      <c r="H128" s="3" t="s">
        <v>116</v>
      </c>
    </row>
    <row r="129" spans="1:8" x14ac:dyDescent="0.25">
      <c r="A129" s="13" t="s">
        <v>734</v>
      </c>
      <c r="B129" s="14">
        <f>COUNTIF('KAPASİTE TABLOSU'!F:F,'İL-İLÇE BAZINDA KAPASİTE'!A129)</f>
        <v>0</v>
      </c>
      <c r="C129" s="14" t="e">
        <f>SUMIF('KAPASİTE TABLOSU'!$F:$F,'İL-İLÇE BAZINDA KAPASİTE'!$A129,'KAPASİTE TABLOSU'!#REF!)</f>
        <v>#REF!</v>
      </c>
      <c r="D129" s="14" t="e">
        <f>SUMIF('KAPASİTE TABLOSU'!$F:$F,'İL-İLÇE BAZINDA KAPASİTE'!$A129,'KAPASİTE TABLOSU'!#REF!)</f>
        <v>#REF!</v>
      </c>
      <c r="E129" s="14" t="e">
        <f>SUMIF('KAPASİTE TABLOSU'!$F:$F,'İL-İLÇE BAZINDA KAPASİTE'!$A129,'KAPASİTE TABLOSU'!#REF!)</f>
        <v>#REF!</v>
      </c>
      <c r="F129" s="12" t="str">
        <f t="shared" si="4"/>
        <v>İL</v>
      </c>
      <c r="G129" s="12" t="s">
        <v>217</v>
      </c>
      <c r="H129" s="3" t="s">
        <v>217</v>
      </c>
    </row>
    <row r="130" spans="1:8" x14ac:dyDescent="0.25">
      <c r="A130" s="13" t="s">
        <v>735</v>
      </c>
      <c r="B130" s="14">
        <f>COUNTIF('KAPASİTE TABLOSU'!F:F,'İL-İLÇE BAZINDA KAPASİTE'!A130)</f>
        <v>0</v>
      </c>
      <c r="C130" s="14" t="e">
        <f>SUMIF('KAPASİTE TABLOSU'!$F:$F,'İL-İLÇE BAZINDA KAPASİTE'!$A130,'KAPASİTE TABLOSU'!#REF!)</f>
        <v>#REF!</v>
      </c>
      <c r="D130" s="14" t="e">
        <f>SUMIF('KAPASİTE TABLOSU'!$F:$F,'İL-İLÇE BAZINDA KAPASİTE'!$A130,'KAPASİTE TABLOSU'!#REF!)</f>
        <v>#REF!</v>
      </c>
      <c r="E130" s="14" t="e">
        <f>SUMIF('KAPASİTE TABLOSU'!$F:$F,'İL-İLÇE BAZINDA KAPASİTE'!$A130,'KAPASİTE TABLOSU'!#REF!)</f>
        <v>#REF!</v>
      </c>
      <c r="F130" s="12" t="str">
        <f t="shared" si="4"/>
        <v>İLÇE</v>
      </c>
      <c r="G130" s="12" t="s">
        <v>217</v>
      </c>
      <c r="H130" s="3" t="s">
        <v>218</v>
      </c>
    </row>
    <row r="131" spans="1:8" x14ac:dyDescent="0.25">
      <c r="A131" s="13" t="s">
        <v>736</v>
      </c>
      <c r="B131" s="14">
        <f>COUNTIF('KAPASİTE TABLOSU'!F:F,'İL-İLÇE BAZINDA KAPASİTE'!A131)</f>
        <v>0</v>
      </c>
      <c r="C131" s="14" t="e">
        <f>SUMIF('KAPASİTE TABLOSU'!$F:$F,'İL-İLÇE BAZINDA KAPASİTE'!$A131,'KAPASİTE TABLOSU'!#REF!)</f>
        <v>#REF!</v>
      </c>
      <c r="D131" s="14" t="e">
        <f>SUMIF('KAPASİTE TABLOSU'!$F:$F,'İL-İLÇE BAZINDA KAPASİTE'!$A131,'KAPASİTE TABLOSU'!#REF!)</f>
        <v>#REF!</v>
      </c>
      <c r="E131" s="14" t="e">
        <f>SUMIF('KAPASİTE TABLOSU'!$F:$F,'İL-İLÇE BAZINDA KAPASİTE'!$A131,'KAPASİTE TABLOSU'!#REF!)</f>
        <v>#REF!</v>
      </c>
      <c r="F131" s="12" t="str">
        <f t="shared" si="4"/>
        <v>İL</v>
      </c>
      <c r="G131" s="12" t="s">
        <v>156</v>
      </c>
      <c r="H131" s="3" t="s">
        <v>156</v>
      </c>
    </row>
    <row r="132" spans="1:8" x14ac:dyDescent="0.25">
      <c r="A132" s="13" t="s">
        <v>737</v>
      </c>
      <c r="B132" s="14">
        <f>COUNTIF('KAPASİTE TABLOSU'!F:F,'İL-İLÇE BAZINDA KAPASİTE'!A132)</f>
        <v>0</v>
      </c>
      <c r="C132" s="14" t="e">
        <f>SUMIF('KAPASİTE TABLOSU'!$F:$F,'İL-İLÇE BAZINDA KAPASİTE'!$A132,'KAPASİTE TABLOSU'!#REF!)</f>
        <v>#REF!</v>
      </c>
      <c r="D132" s="14" t="e">
        <f>SUMIF('KAPASİTE TABLOSU'!$F:$F,'İL-İLÇE BAZINDA KAPASİTE'!$A132,'KAPASİTE TABLOSU'!#REF!)</f>
        <v>#REF!</v>
      </c>
      <c r="E132" s="14" t="e">
        <f>SUMIF('KAPASİTE TABLOSU'!$F:$F,'İL-İLÇE BAZINDA KAPASİTE'!$A132,'KAPASİTE TABLOSU'!#REF!)</f>
        <v>#REF!</v>
      </c>
      <c r="F132" s="12" t="str">
        <f t="shared" si="4"/>
        <v>İLÇE</v>
      </c>
      <c r="G132" s="12" t="s">
        <v>156</v>
      </c>
      <c r="H132" s="3" t="s">
        <v>157</v>
      </c>
    </row>
    <row r="133" spans="1:8" x14ac:dyDescent="0.25">
      <c r="A133" s="13" t="s">
        <v>738</v>
      </c>
      <c r="B133" s="14">
        <f>COUNTIF('KAPASİTE TABLOSU'!F:F,'İL-İLÇE BAZINDA KAPASİTE'!A133)</f>
        <v>0</v>
      </c>
      <c r="C133" s="14" t="e">
        <f>SUMIF('KAPASİTE TABLOSU'!$F:$F,'İL-İLÇE BAZINDA KAPASİTE'!$A133,'KAPASİTE TABLOSU'!#REF!)</f>
        <v>#REF!</v>
      </c>
      <c r="D133" s="14" t="e">
        <f>SUMIF('KAPASİTE TABLOSU'!$F:$F,'İL-İLÇE BAZINDA KAPASİTE'!$A133,'KAPASİTE TABLOSU'!#REF!)</f>
        <v>#REF!</v>
      </c>
      <c r="E133" s="14" t="e">
        <f>SUMIF('KAPASİTE TABLOSU'!$F:$F,'İL-İLÇE BAZINDA KAPASİTE'!$A133,'KAPASİTE TABLOSU'!#REF!)</f>
        <v>#REF!</v>
      </c>
      <c r="F133" s="12" t="str">
        <f t="shared" si="4"/>
        <v>İL</v>
      </c>
      <c r="G133" s="12" t="s">
        <v>101</v>
      </c>
      <c r="H133" s="3" t="s">
        <v>101</v>
      </c>
    </row>
    <row r="134" spans="1:8" x14ac:dyDescent="0.25">
      <c r="A134" s="13" t="s">
        <v>917</v>
      </c>
      <c r="B134" s="14">
        <v>1</v>
      </c>
      <c r="C134" s="14" t="e">
        <f>SUMIF('KAPASİTE TABLOSU'!$F:$F,'İL-İLÇE BAZINDA KAPASİTE'!$A134,'KAPASİTE TABLOSU'!#REF!)</f>
        <v>#REF!</v>
      </c>
      <c r="D134" s="14" t="e">
        <f>SUMIF('KAPASİTE TABLOSU'!$F:$F,'İL-İLÇE BAZINDA KAPASİTE'!$A134,'KAPASİTE TABLOSU'!#REF!)</f>
        <v>#REF!</v>
      </c>
      <c r="E134" s="14" t="e">
        <f>SUMIF('KAPASİTE TABLOSU'!$F:$F,'İL-İLÇE BAZINDA KAPASİTE'!$A134,'KAPASİTE TABLOSU'!#REF!)</f>
        <v>#REF!</v>
      </c>
      <c r="F134" s="12" t="str">
        <f t="shared" si="4"/>
        <v>İLÇE</v>
      </c>
      <c r="G134" s="12" t="s">
        <v>101</v>
      </c>
      <c r="H134" s="3" t="s">
        <v>916</v>
      </c>
    </row>
    <row r="135" spans="1:8" x14ac:dyDescent="0.25">
      <c r="A135" s="13" t="s">
        <v>739</v>
      </c>
      <c r="B135" s="14">
        <f>COUNTIF('KAPASİTE TABLOSU'!F:F,'İL-İLÇE BAZINDA KAPASİTE'!A135)</f>
        <v>0</v>
      </c>
      <c r="C135" s="14" t="e">
        <f>SUMIF('KAPASİTE TABLOSU'!$F:$F,'İL-İLÇE BAZINDA KAPASİTE'!$A135,'KAPASİTE TABLOSU'!#REF!)</f>
        <v>#REF!</v>
      </c>
      <c r="D135" s="14" t="e">
        <f>SUMIF('KAPASİTE TABLOSU'!$F:$F,'İL-İLÇE BAZINDA KAPASİTE'!$A135,'KAPASİTE TABLOSU'!#REF!)</f>
        <v>#REF!</v>
      </c>
      <c r="E135" s="14" t="e">
        <f>SUMIF('KAPASİTE TABLOSU'!$F:$F,'İL-İLÇE BAZINDA KAPASİTE'!$A135,'KAPASİTE TABLOSU'!#REF!)</f>
        <v>#REF!</v>
      </c>
      <c r="F135" s="12" t="str">
        <f t="shared" si="4"/>
        <v>İL</v>
      </c>
      <c r="G135" s="12" t="s">
        <v>22</v>
      </c>
      <c r="H135" s="3" t="s">
        <v>22</v>
      </c>
    </row>
    <row r="136" spans="1:8" x14ac:dyDescent="0.25">
      <c r="A136" s="13" t="s">
        <v>740</v>
      </c>
      <c r="B136" s="14">
        <f>COUNTIF('KAPASİTE TABLOSU'!F:F,'İL-İLÇE BAZINDA KAPASİTE'!A136)</f>
        <v>0</v>
      </c>
      <c r="C136" s="14" t="e">
        <f>SUMIF('KAPASİTE TABLOSU'!$F:$F,'İL-İLÇE BAZINDA KAPASİTE'!$A136,'KAPASİTE TABLOSU'!#REF!)</f>
        <v>#REF!</v>
      </c>
      <c r="D136" s="14" t="e">
        <f>SUMIF('KAPASİTE TABLOSU'!$F:$F,'İL-İLÇE BAZINDA KAPASİTE'!$A136,'KAPASİTE TABLOSU'!#REF!)</f>
        <v>#REF!</v>
      </c>
      <c r="E136" s="14" t="e">
        <f>SUMIF('KAPASİTE TABLOSU'!$F:$F,'İL-İLÇE BAZINDA KAPASİTE'!$A136,'KAPASİTE TABLOSU'!#REF!)</f>
        <v>#REF!</v>
      </c>
      <c r="F136" s="12" t="str">
        <f t="shared" ref="F136:F199" si="6">IF(G136=H136,"İL","İLÇE")</f>
        <v>İL</v>
      </c>
      <c r="G136" s="12" t="s">
        <v>131</v>
      </c>
      <c r="H136" s="3" t="s">
        <v>131</v>
      </c>
    </row>
    <row r="137" spans="1:8" x14ac:dyDescent="0.25">
      <c r="A137" s="13" t="s">
        <v>741</v>
      </c>
      <c r="B137" s="14">
        <f>COUNTIF('KAPASİTE TABLOSU'!F:F,'İL-İLÇE BAZINDA KAPASİTE'!A137)</f>
        <v>0</v>
      </c>
      <c r="C137" s="14" t="e">
        <f>SUMIF('KAPASİTE TABLOSU'!$F:$F,'İL-İLÇE BAZINDA KAPASİTE'!$A137,'KAPASİTE TABLOSU'!#REF!)</f>
        <v>#REF!</v>
      </c>
      <c r="D137" s="14" t="e">
        <f>SUMIF('KAPASİTE TABLOSU'!$F:$F,'İL-İLÇE BAZINDA KAPASİTE'!$A137,'KAPASİTE TABLOSU'!#REF!)</f>
        <v>#REF!</v>
      </c>
      <c r="E137" s="14" t="e">
        <f>SUMIF('KAPASİTE TABLOSU'!$F:$F,'İL-İLÇE BAZINDA KAPASİTE'!$A137,'KAPASİTE TABLOSU'!#REF!)</f>
        <v>#REF!</v>
      </c>
      <c r="F137" s="12" t="str">
        <f t="shared" si="6"/>
        <v>İLÇE</v>
      </c>
      <c r="G137" s="12" t="s">
        <v>131</v>
      </c>
      <c r="H137" s="3" t="s">
        <v>132</v>
      </c>
    </row>
    <row r="138" spans="1:8" x14ac:dyDescent="0.25">
      <c r="A138" s="13" t="s">
        <v>742</v>
      </c>
      <c r="B138" s="14">
        <f>COUNTIF('KAPASİTE TABLOSU'!F:F,'İL-İLÇE BAZINDA KAPASİTE'!A138)</f>
        <v>0</v>
      </c>
      <c r="C138" s="14" t="e">
        <f>SUMIF('KAPASİTE TABLOSU'!$F:$F,'İL-İLÇE BAZINDA KAPASİTE'!$A138,'KAPASİTE TABLOSU'!#REF!)</f>
        <v>#REF!</v>
      </c>
      <c r="D138" s="14" t="e">
        <f>SUMIF('KAPASİTE TABLOSU'!$F:$F,'İL-İLÇE BAZINDA KAPASİTE'!$A138,'KAPASİTE TABLOSU'!#REF!)</f>
        <v>#REF!</v>
      </c>
      <c r="E138" s="14" t="e">
        <f>SUMIF('KAPASİTE TABLOSU'!$F:$F,'İL-İLÇE BAZINDA KAPASİTE'!$A138,'KAPASİTE TABLOSU'!#REF!)</f>
        <v>#REF!</v>
      </c>
      <c r="F138" s="12" t="str">
        <f t="shared" si="6"/>
        <v>İLÇE</v>
      </c>
      <c r="G138" s="12" t="s">
        <v>131</v>
      </c>
      <c r="H138" s="3" t="s">
        <v>555</v>
      </c>
    </row>
    <row r="139" spans="1:8" x14ac:dyDescent="0.25">
      <c r="A139" s="13" t="s">
        <v>743</v>
      </c>
      <c r="B139" s="14">
        <f>COUNTIF('KAPASİTE TABLOSU'!F:F,'İL-İLÇE BAZINDA KAPASİTE'!A139)</f>
        <v>0</v>
      </c>
      <c r="C139" s="14" t="e">
        <f>SUMIF('KAPASİTE TABLOSU'!$F:$F,'İL-İLÇE BAZINDA KAPASİTE'!$A139,'KAPASİTE TABLOSU'!#REF!)</f>
        <v>#REF!</v>
      </c>
      <c r="D139" s="14" t="e">
        <f>SUMIF('KAPASİTE TABLOSU'!$F:$F,'İL-İLÇE BAZINDA KAPASİTE'!$A139,'KAPASİTE TABLOSU'!#REF!)</f>
        <v>#REF!</v>
      </c>
      <c r="E139" s="14" t="e">
        <f>SUMIF('KAPASİTE TABLOSU'!$F:$F,'İL-İLÇE BAZINDA KAPASİTE'!$A139,'KAPASİTE TABLOSU'!#REF!)</f>
        <v>#REF!</v>
      </c>
      <c r="F139" s="12" t="str">
        <f t="shared" si="6"/>
        <v>İL</v>
      </c>
      <c r="G139" s="12" t="s">
        <v>23</v>
      </c>
      <c r="H139" s="3" t="s">
        <v>23</v>
      </c>
    </row>
    <row r="140" spans="1:8" x14ac:dyDescent="0.25">
      <c r="A140" s="13" t="s">
        <v>744</v>
      </c>
      <c r="B140" s="14">
        <f>COUNTIF('KAPASİTE TABLOSU'!F:F,'İL-İLÇE BAZINDA KAPASİTE'!A140)</f>
        <v>0</v>
      </c>
      <c r="C140" s="14" t="e">
        <f>SUMIF('KAPASİTE TABLOSU'!$F:$F,'İL-İLÇE BAZINDA KAPASİTE'!$A140,'KAPASİTE TABLOSU'!#REF!)</f>
        <v>#REF!</v>
      </c>
      <c r="D140" s="14" t="e">
        <f>SUMIF('KAPASİTE TABLOSU'!$F:$F,'İL-İLÇE BAZINDA KAPASİTE'!$A140,'KAPASİTE TABLOSU'!#REF!)</f>
        <v>#REF!</v>
      </c>
      <c r="E140" s="14" t="e">
        <f>SUMIF('KAPASİTE TABLOSU'!$F:$F,'İL-İLÇE BAZINDA KAPASİTE'!$A140,'KAPASİTE TABLOSU'!#REF!)</f>
        <v>#REF!</v>
      </c>
      <c r="F140" s="12" t="str">
        <f t="shared" si="6"/>
        <v>İLÇE</v>
      </c>
      <c r="G140" s="12" t="s">
        <v>23</v>
      </c>
      <c r="H140" s="3" t="s">
        <v>24</v>
      </c>
    </row>
    <row r="141" spans="1:8" x14ac:dyDescent="0.25">
      <c r="A141" s="13" t="s">
        <v>745</v>
      </c>
      <c r="B141" s="14">
        <f>COUNTIF('KAPASİTE TABLOSU'!F:F,'İL-İLÇE BAZINDA KAPASİTE'!A141)</f>
        <v>0</v>
      </c>
      <c r="C141" s="14" t="e">
        <f>SUMIF('KAPASİTE TABLOSU'!$F:$F,'İL-İLÇE BAZINDA KAPASİTE'!$A141,'KAPASİTE TABLOSU'!#REF!)</f>
        <v>#REF!</v>
      </c>
      <c r="D141" s="14" t="e">
        <f>SUMIF('KAPASİTE TABLOSU'!$F:$F,'İL-İLÇE BAZINDA KAPASİTE'!$A141,'KAPASİTE TABLOSU'!#REF!)</f>
        <v>#REF!</v>
      </c>
      <c r="E141" s="14" t="e">
        <f>SUMIF('KAPASİTE TABLOSU'!$F:$F,'İL-İLÇE BAZINDA KAPASİTE'!$A141,'KAPASİTE TABLOSU'!#REF!)</f>
        <v>#REF!</v>
      </c>
      <c r="F141" s="12" t="str">
        <f t="shared" si="6"/>
        <v>İL</v>
      </c>
      <c r="G141" s="12" t="s">
        <v>80</v>
      </c>
      <c r="H141" s="3" t="s">
        <v>80</v>
      </c>
    </row>
    <row r="142" spans="1:8" x14ac:dyDescent="0.25">
      <c r="A142" s="13" t="s">
        <v>746</v>
      </c>
      <c r="B142" s="14">
        <f>COUNTIF('KAPASİTE TABLOSU'!F:F,'İL-İLÇE BAZINDA KAPASİTE'!A142)</f>
        <v>0</v>
      </c>
      <c r="C142" s="14" t="e">
        <f>SUMIF('KAPASİTE TABLOSU'!$F:$F,'İL-İLÇE BAZINDA KAPASİTE'!$A142,'KAPASİTE TABLOSU'!#REF!)</f>
        <v>#REF!</v>
      </c>
      <c r="D142" s="14" t="e">
        <f>SUMIF('KAPASİTE TABLOSU'!$F:$F,'İL-İLÇE BAZINDA KAPASİTE'!$A142,'KAPASİTE TABLOSU'!#REF!)</f>
        <v>#REF!</v>
      </c>
      <c r="E142" s="14" t="e">
        <f>SUMIF('KAPASİTE TABLOSU'!$F:$F,'İL-İLÇE BAZINDA KAPASİTE'!$A142,'KAPASİTE TABLOSU'!#REF!)</f>
        <v>#REF!</v>
      </c>
      <c r="F142" s="12" t="str">
        <f t="shared" si="6"/>
        <v>İLÇE</v>
      </c>
      <c r="G142" s="12" t="s">
        <v>80</v>
      </c>
      <c r="H142" s="3" t="s">
        <v>81</v>
      </c>
    </row>
    <row r="143" spans="1:8" x14ac:dyDescent="0.25">
      <c r="A143" s="13" t="s">
        <v>747</v>
      </c>
      <c r="B143" s="14">
        <f>COUNTIF('KAPASİTE TABLOSU'!F:F,'İL-İLÇE BAZINDA KAPASİTE'!A143)</f>
        <v>0</v>
      </c>
      <c r="C143" s="14" t="e">
        <f>SUMIF('KAPASİTE TABLOSU'!$F:$F,'İL-İLÇE BAZINDA KAPASİTE'!$A143,'KAPASİTE TABLOSU'!#REF!)</f>
        <v>#REF!</v>
      </c>
      <c r="D143" s="14" t="e">
        <f>SUMIF('KAPASİTE TABLOSU'!$F:$F,'İL-İLÇE BAZINDA KAPASİTE'!$A143,'KAPASİTE TABLOSU'!#REF!)</f>
        <v>#REF!</v>
      </c>
      <c r="E143" s="14" t="e">
        <f>SUMIF('KAPASİTE TABLOSU'!$F:$F,'İL-İLÇE BAZINDA KAPASİTE'!$A143,'KAPASİTE TABLOSU'!#REF!)</f>
        <v>#REF!</v>
      </c>
      <c r="F143" s="12" t="str">
        <f t="shared" si="6"/>
        <v>İL</v>
      </c>
      <c r="G143" s="12" t="s">
        <v>133</v>
      </c>
      <c r="H143" s="3" t="s">
        <v>133</v>
      </c>
    </row>
    <row r="144" spans="1:8" x14ac:dyDescent="0.25">
      <c r="A144" s="13" t="s">
        <v>748</v>
      </c>
      <c r="B144" s="14">
        <f>COUNTIF('KAPASİTE TABLOSU'!F:F,'İL-İLÇE BAZINDA KAPASİTE'!A144)</f>
        <v>0</v>
      </c>
      <c r="C144" s="14" t="e">
        <f>SUMIF('KAPASİTE TABLOSU'!$F:$F,'İL-İLÇE BAZINDA KAPASİTE'!$A144,'KAPASİTE TABLOSU'!#REF!)</f>
        <v>#REF!</v>
      </c>
      <c r="D144" s="14" t="e">
        <f>SUMIF('KAPASİTE TABLOSU'!$F:$F,'İL-İLÇE BAZINDA KAPASİTE'!$A144,'KAPASİTE TABLOSU'!#REF!)</f>
        <v>#REF!</v>
      </c>
      <c r="E144" s="14" t="e">
        <f>SUMIF('KAPASİTE TABLOSU'!$F:$F,'İL-İLÇE BAZINDA KAPASİTE'!$A144,'KAPASİTE TABLOSU'!#REF!)</f>
        <v>#REF!</v>
      </c>
      <c r="F144" s="12" t="str">
        <f t="shared" si="6"/>
        <v>İLÇE</v>
      </c>
      <c r="G144" s="12" t="s">
        <v>133</v>
      </c>
      <c r="H144" s="3" t="s">
        <v>134</v>
      </c>
    </row>
    <row r="145" spans="1:8" x14ac:dyDescent="0.25">
      <c r="A145" s="13" t="s">
        <v>749</v>
      </c>
      <c r="B145" s="14">
        <f>COUNTIF('KAPASİTE TABLOSU'!F:F,'İL-İLÇE BAZINDA KAPASİTE'!A145)</f>
        <v>0</v>
      </c>
      <c r="C145" s="14" t="e">
        <f>SUMIF('KAPASİTE TABLOSU'!$F:$F,'İL-İLÇE BAZINDA KAPASİTE'!$A145,'KAPASİTE TABLOSU'!#REF!)</f>
        <v>#REF!</v>
      </c>
      <c r="D145" s="14" t="e">
        <f>SUMIF('KAPASİTE TABLOSU'!$F:$F,'İL-İLÇE BAZINDA KAPASİTE'!$A145,'KAPASİTE TABLOSU'!#REF!)</f>
        <v>#REF!</v>
      </c>
      <c r="E145" s="14" t="e">
        <f>SUMIF('KAPASİTE TABLOSU'!$F:$F,'İL-İLÇE BAZINDA KAPASİTE'!$A145,'KAPASİTE TABLOSU'!#REF!)</f>
        <v>#REF!</v>
      </c>
      <c r="F145" s="12" t="str">
        <f t="shared" si="6"/>
        <v>İLÇE</v>
      </c>
      <c r="G145" s="12" t="s">
        <v>133</v>
      </c>
      <c r="H145" s="3" t="s">
        <v>135</v>
      </c>
    </row>
    <row r="146" spans="1:8" x14ac:dyDescent="0.25">
      <c r="A146" s="13" t="s">
        <v>750</v>
      </c>
      <c r="B146" s="14">
        <f>COUNTIF('KAPASİTE TABLOSU'!F:F,'İL-İLÇE BAZINDA KAPASİTE'!A146)</f>
        <v>0</v>
      </c>
      <c r="C146" s="14" t="e">
        <f>SUMIF('KAPASİTE TABLOSU'!$F:$F,'İL-İLÇE BAZINDA KAPASİTE'!$A146,'KAPASİTE TABLOSU'!#REF!)</f>
        <v>#REF!</v>
      </c>
      <c r="D146" s="14" t="e">
        <f>SUMIF('KAPASİTE TABLOSU'!$F:$F,'İL-İLÇE BAZINDA KAPASİTE'!$A146,'KAPASİTE TABLOSU'!#REF!)</f>
        <v>#REF!</v>
      </c>
      <c r="E146" s="14" t="e">
        <f>SUMIF('KAPASİTE TABLOSU'!$F:$F,'İL-İLÇE BAZINDA KAPASİTE'!$A146,'KAPASİTE TABLOSU'!#REF!)</f>
        <v>#REF!</v>
      </c>
      <c r="F146" s="12" t="str">
        <f t="shared" si="6"/>
        <v>İL</v>
      </c>
      <c r="G146" s="12" t="s">
        <v>117</v>
      </c>
      <c r="H146" s="3" t="s">
        <v>117</v>
      </c>
    </row>
    <row r="147" spans="1:8" x14ac:dyDescent="0.25">
      <c r="A147" s="13" t="s">
        <v>751</v>
      </c>
      <c r="B147" s="14">
        <f>COUNTIF('KAPASİTE TABLOSU'!F:F,'İL-İLÇE BAZINDA KAPASİTE'!A147)</f>
        <v>0</v>
      </c>
      <c r="C147" s="14" t="e">
        <f>SUMIF('KAPASİTE TABLOSU'!$F:$F,'İL-İLÇE BAZINDA KAPASİTE'!$A147,'KAPASİTE TABLOSU'!#REF!)</f>
        <v>#REF!</v>
      </c>
      <c r="D147" s="14" t="e">
        <f>SUMIF('KAPASİTE TABLOSU'!$F:$F,'İL-İLÇE BAZINDA KAPASİTE'!$A147,'KAPASİTE TABLOSU'!#REF!)</f>
        <v>#REF!</v>
      </c>
      <c r="E147" s="14" t="e">
        <f>SUMIF('KAPASİTE TABLOSU'!$F:$F,'İL-İLÇE BAZINDA KAPASİTE'!$A147,'KAPASİTE TABLOSU'!#REF!)</f>
        <v>#REF!</v>
      </c>
      <c r="F147" s="12" t="str">
        <f t="shared" si="6"/>
        <v>İL</v>
      </c>
      <c r="G147" s="12" t="s">
        <v>41</v>
      </c>
      <c r="H147" s="3" t="s">
        <v>41</v>
      </c>
    </row>
    <row r="148" spans="1:8" x14ac:dyDescent="0.25">
      <c r="A148" s="13" t="s">
        <v>752</v>
      </c>
      <c r="B148" s="14">
        <f>COUNTIF('KAPASİTE TABLOSU'!F:F,'İL-İLÇE BAZINDA KAPASİTE'!A148)</f>
        <v>0</v>
      </c>
      <c r="C148" s="14" t="e">
        <f>SUMIF('KAPASİTE TABLOSU'!$F:$F,'İL-İLÇE BAZINDA KAPASİTE'!$A148,'KAPASİTE TABLOSU'!#REF!)</f>
        <v>#REF!</v>
      </c>
      <c r="D148" s="14" t="e">
        <f>SUMIF('KAPASİTE TABLOSU'!$F:$F,'İL-İLÇE BAZINDA KAPASİTE'!$A148,'KAPASİTE TABLOSU'!#REF!)</f>
        <v>#REF!</v>
      </c>
      <c r="E148" s="14" t="e">
        <f>SUMIF('KAPASİTE TABLOSU'!$F:$F,'İL-İLÇE BAZINDA KAPASİTE'!$A148,'KAPASİTE TABLOSU'!#REF!)</f>
        <v>#REF!</v>
      </c>
      <c r="F148" s="12" t="str">
        <f t="shared" si="6"/>
        <v>İLÇE</v>
      </c>
      <c r="G148" s="12" t="s">
        <v>41</v>
      </c>
      <c r="H148" s="3" t="s">
        <v>42</v>
      </c>
    </row>
    <row r="149" spans="1:8" x14ac:dyDescent="0.25">
      <c r="A149" s="13" t="s">
        <v>753</v>
      </c>
      <c r="B149" s="14">
        <f>COUNTIF('KAPASİTE TABLOSU'!F:F,'İL-İLÇE BAZINDA KAPASİTE'!A149)</f>
        <v>0</v>
      </c>
      <c r="C149" s="14" t="e">
        <f>SUMIF('KAPASİTE TABLOSU'!$F:$F,'İL-İLÇE BAZINDA KAPASİTE'!$A149,'KAPASİTE TABLOSU'!#REF!)</f>
        <v>#REF!</v>
      </c>
      <c r="D149" s="14" t="e">
        <f>SUMIF('KAPASİTE TABLOSU'!$F:$F,'İL-İLÇE BAZINDA KAPASİTE'!$A149,'KAPASİTE TABLOSU'!#REF!)</f>
        <v>#REF!</v>
      </c>
      <c r="E149" s="14" t="e">
        <f>SUMIF('KAPASİTE TABLOSU'!$F:$F,'İL-İLÇE BAZINDA KAPASİTE'!$A149,'KAPASİTE TABLOSU'!#REF!)</f>
        <v>#REF!</v>
      </c>
      <c r="F149" s="12" t="str">
        <f t="shared" si="6"/>
        <v>İLÇE</v>
      </c>
      <c r="G149" s="12" t="s">
        <v>41</v>
      </c>
      <c r="H149" s="3" t="s">
        <v>43</v>
      </c>
    </row>
    <row r="150" spans="1:8" x14ac:dyDescent="0.25">
      <c r="A150" s="13" t="s">
        <v>754</v>
      </c>
      <c r="B150" s="14">
        <f>COUNTIF('KAPASİTE TABLOSU'!F:F,'İL-İLÇE BAZINDA KAPASİTE'!A150)</f>
        <v>0</v>
      </c>
      <c r="C150" s="14" t="e">
        <f>SUMIF('KAPASİTE TABLOSU'!$F:$F,'İL-İLÇE BAZINDA KAPASİTE'!$A150,'KAPASİTE TABLOSU'!#REF!)</f>
        <v>#REF!</v>
      </c>
      <c r="D150" s="14" t="e">
        <f>SUMIF('KAPASİTE TABLOSU'!$F:$F,'İL-İLÇE BAZINDA KAPASİTE'!$A150,'KAPASİTE TABLOSU'!#REF!)</f>
        <v>#REF!</v>
      </c>
      <c r="E150" s="14" t="e">
        <f>SUMIF('KAPASİTE TABLOSU'!$F:$F,'İL-İLÇE BAZINDA KAPASİTE'!$A150,'KAPASİTE TABLOSU'!#REF!)</f>
        <v>#REF!</v>
      </c>
      <c r="F150" s="12" t="str">
        <f t="shared" si="6"/>
        <v>İLÇE</v>
      </c>
      <c r="G150" s="12" t="s">
        <v>41</v>
      </c>
      <c r="H150" s="3" t="s">
        <v>44</v>
      </c>
    </row>
    <row r="151" spans="1:8" x14ac:dyDescent="0.25">
      <c r="A151" s="13" t="s">
        <v>930</v>
      </c>
      <c r="B151" s="14">
        <f>COUNTIF('KAPASİTE TABLOSU'!F:F,'İL-İLÇE BAZINDA KAPASİTE'!A151)</f>
        <v>0</v>
      </c>
      <c r="C151" s="14" t="e">
        <f>SUMIF('KAPASİTE TABLOSU'!$F:$F,'İL-İLÇE BAZINDA KAPASİTE'!$A151,'KAPASİTE TABLOSU'!#REF!)</f>
        <v>#REF!</v>
      </c>
      <c r="D151" s="14" t="e">
        <f>SUMIF('KAPASİTE TABLOSU'!$F:$F,'İL-İLÇE BAZINDA KAPASİTE'!$A151,'KAPASİTE TABLOSU'!#REF!)</f>
        <v>#REF!</v>
      </c>
      <c r="E151" s="14" t="e">
        <f>SUMIF('KAPASİTE TABLOSU'!$F:$F,'İL-İLÇE BAZINDA KAPASİTE'!$A151,'KAPASİTE TABLOSU'!#REF!)</f>
        <v>#REF!</v>
      </c>
      <c r="F151" s="12" t="str">
        <f t="shared" si="6"/>
        <v>İLÇE</v>
      </c>
      <c r="G151" s="12" t="s">
        <v>41</v>
      </c>
      <c r="H151" s="3" t="s">
        <v>929</v>
      </c>
    </row>
    <row r="152" spans="1:8" x14ac:dyDescent="0.25">
      <c r="A152" s="13" t="s">
        <v>755</v>
      </c>
      <c r="B152" s="14">
        <f>COUNTIF('KAPASİTE TABLOSU'!F:F,'İL-İLÇE BAZINDA KAPASİTE'!A152)</f>
        <v>0</v>
      </c>
      <c r="C152" s="14" t="e">
        <f>SUMIF('KAPASİTE TABLOSU'!$F:$F,'İL-İLÇE BAZINDA KAPASİTE'!$A152,'KAPASİTE TABLOSU'!#REF!)</f>
        <v>#REF!</v>
      </c>
      <c r="D152" s="14" t="e">
        <f>SUMIF('KAPASİTE TABLOSU'!$F:$F,'İL-İLÇE BAZINDA KAPASİTE'!$A152,'KAPASİTE TABLOSU'!#REF!)</f>
        <v>#REF!</v>
      </c>
      <c r="E152" s="14" t="e">
        <f>SUMIF('KAPASİTE TABLOSU'!$F:$F,'İL-İLÇE BAZINDA KAPASİTE'!$A152,'KAPASİTE TABLOSU'!#REF!)</f>
        <v>#REF!</v>
      </c>
      <c r="F152" s="12" t="str">
        <f t="shared" si="6"/>
        <v>İL</v>
      </c>
      <c r="G152" s="12" t="s">
        <v>146</v>
      </c>
      <c r="H152" s="3" t="s">
        <v>146</v>
      </c>
    </row>
    <row r="153" spans="1:8" x14ac:dyDescent="0.25">
      <c r="A153" s="13" t="s">
        <v>756</v>
      </c>
      <c r="B153" s="14">
        <f>COUNTIF('KAPASİTE TABLOSU'!F:F,'İL-İLÇE BAZINDA KAPASİTE'!A153)</f>
        <v>0</v>
      </c>
      <c r="C153" s="14" t="e">
        <f>SUMIF('KAPASİTE TABLOSU'!$F:$F,'İL-İLÇE BAZINDA KAPASİTE'!$A153,'KAPASİTE TABLOSU'!#REF!)</f>
        <v>#REF!</v>
      </c>
      <c r="D153" s="14" t="e">
        <f>SUMIF('KAPASİTE TABLOSU'!$F:$F,'İL-İLÇE BAZINDA KAPASİTE'!$A153,'KAPASİTE TABLOSU'!#REF!)</f>
        <v>#REF!</v>
      </c>
      <c r="E153" s="14" t="e">
        <f>SUMIF('KAPASİTE TABLOSU'!$F:$F,'İL-İLÇE BAZINDA KAPASİTE'!$A153,'KAPASİTE TABLOSU'!#REF!)</f>
        <v>#REF!</v>
      </c>
      <c r="F153" s="12" t="str">
        <f t="shared" si="6"/>
        <v>İLÇE</v>
      </c>
      <c r="G153" s="12" t="s">
        <v>146</v>
      </c>
      <c r="H153" s="3" t="s">
        <v>147</v>
      </c>
    </row>
    <row r="154" spans="1:8" x14ac:dyDescent="0.25">
      <c r="A154" s="13" t="s">
        <v>757</v>
      </c>
      <c r="B154" s="14">
        <f>COUNTIF('KAPASİTE TABLOSU'!F:F,'İL-İLÇE BAZINDA KAPASİTE'!A154)</f>
        <v>0</v>
      </c>
      <c r="C154" s="14" t="e">
        <f>SUMIF('KAPASİTE TABLOSU'!$F:$F,'İL-İLÇE BAZINDA KAPASİTE'!$A154,'KAPASİTE TABLOSU'!#REF!)</f>
        <v>#REF!</v>
      </c>
      <c r="D154" s="14" t="e">
        <f>SUMIF('KAPASİTE TABLOSU'!$F:$F,'İL-İLÇE BAZINDA KAPASİTE'!$A154,'KAPASİTE TABLOSU'!#REF!)</f>
        <v>#REF!</v>
      </c>
      <c r="E154" s="14" t="e">
        <f>SUMIF('KAPASİTE TABLOSU'!$F:$F,'İL-İLÇE BAZINDA KAPASİTE'!$A154,'KAPASİTE TABLOSU'!#REF!)</f>
        <v>#REF!</v>
      </c>
      <c r="F154" s="12" t="str">
        <f t="shared" si="6"/>
        <v>İLÇE</v>
      </c>
      <c r="G154" s="12" t="s">
        <v>146</v>
      </c>
      <c r="H154" s="3" t="s">
        <v>148</v>
      </c>
    </row>
    <row r="155" spans="1:8" x14ac:dyDescent="0.25">
      <c r="A155" s="13" t="s">
        <v>758</v>
      </c>
      <c r="B155" s="14">
        <f>COUNTIF('KAPASİTE TABLOSU'!F:F,'İL-İLÇE BAZINDA KAPASİTE'!A155)</f>
        <v>0</v>
      </c>
      <c r="C155" s="14" t="e">
        <f>SUMIF('KAPASİTE TABLOSU'!$F:$F,'İL-İLÇE BAZINDA KAPASİTE'!$A155,'KAPASİTE TABLOSU'!#REF!)</f>
        <v>#REF!</v>
      </c>
      <c r="D155" s="14" t="e">
        <f>SUMIF('KAPASİTE TABLOSU'!$F:$F,'İL-İLÇE BAZINDA KAPASİTE'!$A155,'KAPASİTE TABLOSU'!#REF!)</f>
        <v>#REF!</v>
      </c>
      <c r="E155" s="14" t="e">
        <f>SUMIF('KAPASİTE TABLOSU'!$F:$F,'İL-İLÇE BAZINDA KAPASİTE'!$A155,'KAPASİTE TABLOSU'!#REF!)</f>
        <v>#REF!</v>
      </c>
      <c r="F155" s="12" t="str">
        <f t="shared" si="6"/>
        <v>İLÇE</v>
      </c>
      <c r="G155" s="12" t="s">
        <v>146</v>
      </c>
      <c r="H155" s="3" t="s">
        <v>149</v>
      </c>
    </row>
    <row r="156" spans="1:8" x14ac:dyDescent="0.25">
      <c r="A156" s="13" t="s">
        <v>759</v>
      </c>
      <c r="B156" s="14">
        <f>COUNTIF('KAPASİTE TABLOSU'!F:F,'İL-İLÇE BAZINDA KAPASİTE'!A156)</f>
        <v>0</v>
      </c>
      <c r="C156" s="14" t="e">
        <f>SUMIF('KAPASİTE TABLOSU'!$F:$F,'İL-İLÇE BAZINDA KAPASİTE'!$A156,'KAPASİTE TABLOSU'!#REF!)</f>
        <v>#REF!</v>
      </c>
      <c r="D156" s="14" t="e">
        <f>SUMIF('KAPASİTE TABLOSU'!$F:$F,'İL-İLÇE BAZINDA KAPASİTE'!$A156,'KAPASİTE TABLOSU'!#REF!)</f>
        <v>#REF!</v>
      </c>
      <c r="E156" s="14" t="e">
        <f>SUMIF('KAPASİTE TABLOSU'!$F:$F,'İL-İLÇE BAZINDA KAPASİTE'!$A156,'KAPASİTE TABLOSU'!#REF!)</f>
        <v>#REF!</v>
      </c>
      <c r="F156" s="12" t="str">
        <f t="shared" si="6"/>
        <v>İLÇE</v>
      </c>
      <c r="G156" s="12" t="s">
        <v>146</v>
      </c>
      <c r="H156" s="3" t="s">
        <v>532</v>
      </c>
    </row>
    <row r="157" spans="1:8" x14ac:dyDescent="0.25">
      <c r="A157" s="13" t="s">
        <v>760</v>
      </c>
      <c r="B157" s="14">
        <f>COUNTIF('KAPASİTE TABLOSU'!F:F,'İL-İLÇE BAZINDA KAPASİTE'!A157)</f>
        <v>0</v>
      </c>
      <c r="C157" s="14" t="e">
        <f>SUMIF('KAPASİTE TABLOSU'!$F:$F,'İL-İLÇE BAZINDA KAPASİTE'!$A157,'KAPASİTE TABLOSU'!#REF!)</f>
        <v>#REF!</v>
      </c>
      <c r="D157" s="14" t="e">
        <f>SUMIF('KAPASİTE TABLOSU'!$F:$F,'İL-İLÇE BAZINDA KAPASİTE'!$A157,'KAPASİTE TABLOSU'!#REF!)</f>
        <v>#REF!</v>
      </c>
      <c r="E157" s="14" t="e">
        <f>SUMIF('KAPASİTE TABLOSU'!$F:$F,'İL-İLÇE BAZINDA KAPASİTE'!$A157,'KAPASİTE TABLOSU'!#REF!)</f>
        <v>#REF!</v>
      </c>
      <c r="F157" s="12" t="str">
        <f t="shared" si="6"/>
        <v>İLÇE</v>
      </c>
      <c r="G157" s="12" t="s">
        <v>146</v>
      </c>
      <c r="H157" s="3" t="s">
        <v>150</v>
      </c>
    </row>
    <row r="158" spans="1:8" x14ac:dyDescent="0.25">
      <c r="A158" s="13" t="s">
        <v>761</v>
      </c>
      <c r="B158" s="14">
        <f>COUNTIF('KAPASİTE TABLOSU'!F:F,'İL-İLÇE BAZINDA KAPASİTE'!A158)</f>
        <v>0</v>
      </c>
      <c r="C158" s="14" t="e">
        <f>SUMIF('KAPASİTE TABLOSU'!$F:$F,'İL-İLÇE BAZINDA KAPASİTE'!$A158,'KAPASİTE TABLOSU'!#REF!)</f>
        <v>#REF!</v>
      </c>
      <c r="D158" s="14" t="e">
        <f>SUMIF('KAPASİTE TABLOSU'!$F:$F,'İL-İLÇE BAZINDA KAPASİTE'!$A158,'KAPASİTE TABLOSU'!#REF!)</f>
        <v>#REF!</v>
      </c>
      <c r="E158" s="14" t="e">
        <f>SUMIF('KAPASİTE TABLOSU'!$F:$F,'İL-İLÇE BAZINDA KAPASİTE'!$A158,'KAPASİTE TABLOSU'!#REF!)</f>
        <v>#REF!</v>
      </c>
      <c r="F158" s="12" t="str">
        <f t="shared" si="6"/>
        <v>İLÇE</v>
      </c>
      <c r="G158" s="12" t="s">
        <v>146</v>
      </c>
      <c r="H158" s="3" t="s">
        <v>151</v>
      </c>
    </row>
    <row r="159" spans="1:8" x14ac:dyDescent="0.25">
      <c r="A159" s="13" t="s">
        <v>762</v>
      </c>
      <c r="B159" s="14">
        <f>COUNTIF('KAPASİTE TABLOSU'!F:F,'İL-İLÇE BAZINDA KAPASİTE'!A159)</f>
        <v>0</v>
      </c>
      <c r="C159" s="14" t="e">
        <f>SUMIF('KAPASİTE TABLOSU'!$F:$F,'İL-İLÇE BAZINDA KAPASİTE'!$A159,'KAPASİTE TABLOSU'!#REF!)</f>
        <v>#REF!</v>
      </c>
      <c r="D159" s="14" t="e">
        <f>SUMIF('KAPASİTE TABLOSU'!$F:$F,'İL-İLÇE BAZINDA KAPASİTE'!$A159,'KAPASİTE TABLOSU'!#REF!)</f>
        <v>#REF!</v>
      </c>
      <c r="E159" s="14" t="e">
        <f>SUMIF('KAPASİTE TABLOSU'!$F:$F,'İL-İLÇE BAZINDA KAPASİTE'!$A159,'KAPASİTE TABLOSU'!#REF!)</f>
        <v>#REF!</v>
      </c>
      <c r="F159" s="12" t="str">
        <f t="shared" si="6"/>
        <v>İLÇE</v>
      </c>
      <c r="G159" s="12" t="s">
        <v>146</v>
      </c>
      <c r="H159" s="3" t="s">
        <v>544</v>
      </c>
    </row>
    <row r="160" spans="1:8" x14ac:dyDescent="0.25">
      <c r="A160" s="13" t="s">
        <v>763</v>
      </c>
      <c r="B160" s="14">
        <f>COUNTIF('KAPASİTE TABLOSU'!F:F,'İL-İLÇE BAZINDA KAPASİTE'!A160)</f>
        <v>0</v>
      </c>
      <c r="C160" s="14" t="e">
        <f>SUMIF('KAPASİTE TABLOSU'!$F:$F,'İL-İLÇE BAZINDA KAPASİTE'!$A160,'KAPASİTE TABLOSU'!#REF!)</f>
        <v>#REF!</v>
      </c>
      <c r="D160" s="14" t="e">
        <f>SUMIF('KAPASİTE TABLOSU'!$F:$F,'İL-İLÇE BAZINDA KAPASİTE'!$A160,'KAPASİTE TABLOSU'!#REF!)</f>
        <v>#REF!</v>
      </c>
      <c r="E160" s="14" t="e">
        <f>SUMIF('KAPASİTE TABLOSU'!$F:$F,'İL-İLÇE BAZINDA KAPASİTE'!$A160,'KAPASİTE TABLOSU'!#REF!)</f>
        <v>#REF!</v>
      </c>
      <c r="F160" s="12" t="str">
        <f t="shared" si="6"/>
        <v>İLÇE</v>
      </c>
      <c r="G160" s="12" t="s">
        <v>146</v>
      </c>
      <c r="H160" s="3" t="s">
        <v>524</v>
      </c>
    </row>
    <row r="161" spans="1:8" x14ac:dyDescent="0.25">
      <c r="A161" s="13" t="s">
        <v>872</v>
      </c>
      <c r="B161" s="14">
        <f>COUNTIF('KAPASİTE TABLOSU'!F:F,'İL-İLÇE BAZINDA KAPASİTE'!A161)</f>
        <v>0</v>
      </c>
      <c r="C161" s="14" t="e">
        <f>SUMIF('KAPASİTE TABLOSU'!$F:$F,'İL-İLÇE BAZINDA KAPASİTE'!$A161,'KAPASİTE TABLOSU'!#REF!)</f>
        <v>#REF!</v>
      </c>
      <c r="D161" s="14" t="e">
        <f>SUMIF('KAPASİTE TABLOSU'!$F:$F,'İL-İLÇE BAZINDA KAPASİTE'!$A161,'KAPASİTE TABLOSU'!#REF!)</f>
        <v>#REF!</v>
      </c>
      <c r="E161" s="14" t="e">
        <f>SUMIF('KAPASİTE TABLOSU'!$F:$F,'İL-İLÇE BAZINDA KAPASİTE'!$A161,'KAPASİTE TABLOSU'!#REF!)</f>
        <v>#REF!</v>
      </c>
      <c r="F161" s="12" t="str">
        <f t="shared" si="6"/>
        <v>İLÇE</v>
      </c>
      <c r="G161" s="12" t="s">
        <v>146</v>
      </c>
      <c r="H161" s="3" t="s">
        <v>870</v>
      </c>
    </row>
    <row r="162" spans="1:8" x14ac:dyDescent="0.25">
      <c r="A162" s="13" t="s">
        <v>764</v>
      </c>
      <c r="B162" s="14">
        <f>COUNTIF('KAPASİTE TABLOSU'!F:F,'İL-İLÇE BAZINDA KAPASİTE'!A162)</f>
        <v>0</v>
      </c>
      <c r="C162" s="14" t="e">
        <f>SUMIF('KAPASİTE TABLOSU'!$F:$F,'İL-İLÇE BAZINDA KAPASİTE'!$A162,'KAPASİTE TABLOSU'!#REF!)</f>
        <v>#REF!</v>
      </c>
      <c r="D162" s="14" t="e">
        <f>SUMIF('KAPASİTE TABLOSU'!$F:$F,'İL-İLÇE BAZINDA KAPASİTE'!$A162,'KAPASİTE TABLOSU'!#REF!)</f>
        <v>#REF!</v>
      </c>
      <c r="E162" s="14" t="e">
        <f>SUMIF('KAPASİTE TABLOSU'!$F:$F,'İL-İLÇE BAZINDA KAPASİTE'!$A162,'KAPASİTE TABLOSU'!#REF!)</f>
        <v>#REF!</v>
      </c>
      <c r="F162" s="12" t="str">
        <f t="shared" si="6"/>
        <v>İLÇE</v>
      </c>
      <c r="G162" s="12" t="s">
        <v>146</v>
      </c>
      <c r="H162" s="3" t="s">
        <v>152</v>
      </c>
    </row>
    <row r="163" spans="1:8" x14ac:dyDescent="0.25">
      <c r="A163" s="13" t="s">
        <v>765</v>
      </c>
      <c r="B163" s="14">
        <f>COUNTIF('KAPASİTE TABLOSU'!F:F,'İL-İLÇE BAZINDA KAPASİTE'!A163)</f>
        <v>0</v>
      </c>
      <c r="C163" s="14" t="e">
        <f>SUMIF('KAPASİTE TABLOSU'!$F:$F,'İL-İLÇE BAZINDA KAPASİTE'!$A163,'KAPASİTE TABLOSU'!#REF!)</f>
        <v>#REF!</v>
      </c>
      <c r="D163" s="14" t="e">
        <f>SUMIF('KAPASİTE TABLOSU'!$F:$F,'İL-İLÇE BAZINDA KAPASİTE'!$A163,'KAPASİTE TABLOSU'!#REF!)</f>
        <v>#REF!</v>
      </c>
      <c r="E163" s="14" t="e">
        <f>SUMIF('KAPASİTE TABLOSU'!$F:$F,'İL-İLÇE BAZINDA KAPASİTE'!$A163,'KAPASİTE TABLOSU'!#REF!)</f>
        <v>#REF!</v>
      </c>
      <c r="F163" s="12" t="str">
        <f t="shared" si="6"/>
        <v>İLÇE</v>
      </c>
      <c r="G163" s="12" t="s">
        <v>146</v>
      </c>
      <c r="H163" s="3" t="s">
        <v>153</v>
      </c>
    </row>
    <row r="164" spans="1:8" x14ac:dyDescent="0.25">
      <c r="A164" s="13" t="s">
        <v>865</v>
      </c>
      <c r="B164" s="14">
        <f>COUNTIF('KAPASİTE TABLOSU'!F:F,'İL-İLÇE BAZINDA KAPASİTE'!A164)</f>
        <v>0</v>
      </c>
      <c r="C164" s="14" t="e">
        <f>SUMIF('KAPASİTE TABLOSU'!$F:$F,'İL-İLÇE BAZINDA KAPASİTE'!$A164,'KAPASİTE TABLOSU'!#REF!)</f>
        <v>#REF!</v>
      </c>
      <c r="D164" s="14" t="e">
        <f>SUMIF('KAPASİTE TABLOSU'!$F:$F,'İL-İLÇE BAZINDA KAPASİTE'!$A164,'KAPASİTE TABLOSU'!#REF!)</f>
        <v>#REF!</v>
      </c>
      <c r="E164" s="14" t="e">
        <f>SUMIF('KAPASİTE TABLOSU'!$F:$F,'İL-İLÇE BAZINDA KAPASİTE'!$A164,'KAPASİTE TABLOSU'!#REF!)</f>
        <v>#REF!</v>
      </c>
      <c r="F164" s="12" t="str">
        <f t="shared" si="6"/>
        <v>İLÇE</v>
      </c>
      <c r="G164" s="12" t="s">
        <v>146</v>
      </c>
      <c r="H164" s="3" t="s">
        <v>864</v>
      </c>
    </row>
    <row r="165" spans="1:8" x14ac:dyDescent="0.25">
      <c r="A165" s="13" t="s">
        <v>766</v>
      </c>
      <c r="B165" s="14">
        <f>COUNTIF('KAPASİTE TABLOSU'!F:F,'İL-İLÇE BAZINDA KAPASİTE'!A165)</f>
        <v>0</v>
      </c>
      <c r="C165" s="14" t="e">
        <f>SUMIF('KAPASİTE TABLOSU'!$F:$F,'İL-İLÇE BAZINDA KAPASİTE'!$A165,'KAPASİTE TABLOSU'!#REF!)</f>
        <v>#REF!</v>
      </c>
      <c r="D165" s="14" t="e">
        <f>SUMIF('KAPASİTE TABLOSU'!$F:$F,'İL-İLÇE BAZINDA KAPASİTE'!$A165,'KAPASİTE TABLOSU'!#REF!)</f>
        <v>#REF!</v>
      </c>
      <c r="E165" s="14" t="e">
        <f>SUMIF('KAPASİTE TABLOSU'!$F:$F,'İL-İLÇE BAZINDA KAPASİTE'!$A165,'KAPASİTE TABLOSU'!#REF!)</f>
        <v>#REF!</v>
      </c>
      <c r="F165" s="12" t="str">
        <f t="shared" si="6"/>
        <v>İL</v>
      </c>
      <c r="G165" s="12" t="s">
        <v>109</v>
      </c>
      <c r="H165" s="3" t="s">
        <v>109</v>
      </c>
    </row>
    <row r="166" spans="1:8" x14ac:dyDescent="0.25">
      <c r="A166" s="13" t="s">
        <v>767</v>
      </c>
      <c r="B166" s="14">
        <f>COUNTIF('KAPASİTE TABLOSU'!F:F,'İL-İLÇE BAZINDA KAPASİTE'!A166)</f>
        <v>0</v>
      </c>
      <c r="C166" s="14" t="e">
        <f>SUMIF('KAPASİTE TABLOSU'!$F:$F,'İL-İLÇE BAZINDA KAPASİTE'!$A166,'KAPASİTE TABLOSU'!#REF!)</f>
        <v>#REF!</v>
      </c>
      <c r="D166" s="14" t="e">
        <f>SUMIF('KAPASİTE TABLOSU'!$F:$F,'İL-İLÇE BAZINDA KAPASİTE'!$A166,'KAPASİTE TABLOSU'!#REF!)</f>
        <v>#REF!</v>
      </c>
      <c r="E166" s="14" t="e">
        <f>SUMIF('KAPASİTE TABLOSU'!$F:$F,'İL-İLÇE BAZINDA KAPASİTE'!$A166,'KAPASİTE TABLOSU'!#REF!)</f>
        <v>#REF!</v>
      </c>
      <c r="F166" s="12" t="str">
        <f t="shared" si="6"/>
        <v>İLÇE</v>
      </c>
      <c r="G166" s="12" t="s">
        <v>109</v>
      </c>
      <c r="H166" s="3" t="s">
        <v>110</v>
      </c>
    </row>
    <row r="167" spans="1:8" x14ac:dyDescent="0.25">
      <c r="A167" s="13" t="s">
        <v>768</v>
      </c>
      <c r="B167" s="14">
        <f>COUNTIF('KAPASİTE TABLOSU'!F:F,'İL-İLÇE BAZINDA KAPASİTE'!A167)</f>
        <v>0</v>
      </c>
      <c r="C167" s="14" t="e">
        <f>SUMIF('KAPASİTE TABLOSU'!$F:$F,'İL-İLÇE BAZINDA KAPASİTE'!$A167,'KAPASİTE TABLOSU'!#REF!)</f>
        <v>#REF!</v>
      </c>
      <c r="D167" s="14" t="e">
        <f>SUMIF('KAPASİTE TABLOSU'!$F:$F,'İL-İLÇE BAZINDA KAPASİTE'!$A167,'KAPASİTE TABLOSU'!#REF!)</f>
        <v>#REF!</v>
      </c>
      <c r="E167" s="14" t="e">
        <f>SUMIF('KAPASİTE TABLOSU'!$F:$F,'İL-İLÇE BAZINDA KAPASİTE'!$A167,'KAPASİTE TABLOSU'!#REF!)</f>
        <v>#REF!</v>
      </c>
      <c r="F167" s="12" t="str">
        <f t="shared" si="6"/>
        <v>İLÇE</v>
      </c>
      <c r="G167" s="12" t="s">
        <v>109</v>
      </c>
      <c r="H167" s="3" t="s">
        <v>111</v>
      </c>
    </row>
    <row r="168" spans="1:8" x14ac:dyDescent="0.25">
      <c r="A168" s="13" t="s">
        <v>919</v>
      </c>
      <c r="B168" s="14">
        <f>COUNTIF('KAPASİTE TABLOSU'!F:F,'İL-İLÇE BAZINDA KAPASİTE'!A168)</f>
        <v>0</v>
      </c>
      <c r="C168" s="14" t="e">
        <f>SUMIF('KAPASİTE TABLOSU'!$F:$F,'İL-İLÇE BAZINDA KAPASİTE'!$A168,'KAPASİTE TABLOSU'!#REF!)</f>
        <v>#REF!</v>
      </c>
      <c r="D168" s="14" t="e">
        <f>SUMIF('KAPASİTE TABLOSU'!$F:$F,'İL-İLÇE BAZINDA KAPASİTE'!$A168,'KAPASİTE TABLOSU'!#REF!)</f>
        <v>#REF!</v>
      </c>
      <c r="E168" s="14" t="e">
        <f>SUMIF('KAPASİTE TABLOSU'!$F:$F,'İL-İLÇE BAZINDA KAPASİTE'!$A168,'KAPASİTE TABLOSU'!#REF!)</f>
        <v>#REF!</v>
      </c>
      <c r="F168" s="12" t="str">
        <f t="shared" si="6"/>
        <v>İLÇE</v>
      </c>
      <c r="G168" s="12" t="s">
        <v>109</v>
      </c>
      <c r="H168" s="3" t="s">
        <v>918</v>
      </c>
    </row>
    <row r="169" spans="1:8" x14ac:dyDescent="0.25">
      <c r="A169" s="13" t="s">
        <v>868</v>
      </c>
      <c r="B169" s="14">
        <f>COUNTIF('KAPASİTE TABLOSU'!F:F,'İL-İLÇE BAZINDA KAPASİTE'!A169)</f>
        <v>0</v>
      </c>
      <c r="C169" s="14" t="e">
        <f>SUMIF('KAPASİTE TABLOSU'!$F:$F,'İL-İLÇE BAZINDA KAPASİTE'!$A169,'KAPASİTE TABLOSU'!#REF!)</f>
        <v>#REF!</v>
      </c>
      <c r="D169" s="14" t="e">
        <f>SUMIF('KAPASİTE TABLOSU'!$F:$F,'İL-İLÇE BAZINDA KAPASİTE'!$A169,'KAPASİTE TABLOSU'!#REF!)</f>
        <v>#REF!</v>
      </c>
      <c r="E169" s="14" t="e">
        <f>SUMIF('KAPASİTE TABLOSU'!$F:$F,'İL-İLÇE BAZINDA KAPASİTE'!$A169,'KAPASİTE TABLOSU'!#REF!)</f>
        <v>#REF!</v>
      </c>
      <c r="F169" s="12" t="str">
        <f t="shared" si="6"/>
        <v>İLÇE</v>
      </c>
      <c r="G169" s="12" t="s">
        <v>109</v>
      </c>
      <c r="H169" s="3" t="s">
        <v>867</v>
      </c>
    </row>
    <row r="170" spans="1:8" x14ac:dyDescent="0.25">
      <c r="A170" s="13" t="s">
        <v>769</v>
      </c>
      <c r="B170" s="14">
        <f>COUNTIF('KAPASİTE TABLOSU'!F:F,'İL-İLÇE BAZINDA KAPASİTE'!A170)</f>
        <v>0</v>
      </c>
      <c r="C170" s="14" t="e">
        <f>SUMIF('KAPASİTE TABLOSU'!$F:$F,'İL-İLÇE BAZINDA KAPASİTE'!$A170,'KAPASİTE TABLOSU'!#REF!)</f>
        <v>#REF!</v>
      </c>
      <c r="D170" s="14" t="e">
        <f>SUMIF('KAPASİTE TABLOSU'!$F:$F,'İL-İLÇE BAZINDA KAPASİTE'!$A170,'KAPASİTE TABLOSU'!#REF!)</f>
        <v>#REF!</v>
      </c>
      <c r="E170" s="14" t="e">
        <f>SUMIF('KAPASİTE TABLOSU'!$F:$F,'İL-İLÇE BAZINDA KAPASİTE'!$A170,'KAPASİTE TABLOSU'!#REF!)</f>
        <v>#REF!</v>
      </c>
      <c r="F170" s="12" t="str">
        <f t="shared" si="6"/>
        <v>İL</v>
      </c>
      <c r="G170" s="12" t="s">
        <v>158</v>
      </c>
      <c r="H170" s="3" t="s">
        <v>158</v>
      </c>
    </row>
    <row r="171" spans="1:8" x14ac:dyDescent="0.25">
      <c r="A171" s="13" t="s">
        <v>770</v>
      </c>
      <c r="B171" s="14">
        <f>COUNTIF('KAPASİTE TABLOSU'!F:F,'İL-İLÇE BAZINDA KAPASİTE'!A171)</f>
        <v>0</v>
      </c>
      <c r="C171" s="14" t="e">
        <f>SUMIF('KAPASİTE TABLOSU'!$F:$F,'İL-İLÇE BAZINDA KAPASİTE'!$A171,'KAPASİTE TABLOSU'!#REF!)</f>
        <v>#REF!</v>
      </c>
      <c r="D171" s="14" t="e">
        <f>SUMIF('KAPASİTE TABLOSU'!$F:$F,'İL-İLÇE BAZINDA KAPASİTE'!$A171,'KAPASİTE TABLOSU'!#REF!)</f>
        <v>#REF!</v>
      </c>
      <c r="E171" s="14" t="e">
        <f>SUMIF('KAPASİTE TABLOSU'!$F:$F,'İL-İLÇE BAZINDA KAPASİTE'!$A171,'KAPASİTE TABLOSU'!#REF!)</f>
        <v>#REF!</v>
      </c>
      <c r="F171" s="12" t="str">
        <f t="shared" si="6"/>
        <v>İLÇE</v>
      </c>
      <c r="G171" s="12" t="s">
        <v>158</v>
      </c>
      <c r="H171" s="3" t="s">
        <v>159</v>
      </c>
    </row>
    <row r="172" spans="1:8" x14ac:dyDescent="0.25">
      <c r="A172" s="13" t="s">
        <v>771</v>
      </c>
      <c r="B172" s="14">
        <f>COUNTIF('KAPASİTE TABLOSU'!F:F,'İL-İLÇE BAZINDA KAPASİTE'!A172)</f>
        <v>0</v>
      </c>
      <c r="C172" s="14" t="e">
        <f>SUMIF('KAPASİTE TABLOSU'!$F:$F,'İL-İLÇE BAZINDA KAPASİTE'!$A172,'KAPASİTE TABLOSU'!#REF!)</f>
        <v>#REF!</v>
      </c>
      <c r="D172" s="14" t="e">
        <f>SUMIF('KAPASİTE TABLOSU'!$F:$F,'İL-İLÇE BAZINDA KAPASİTE'!$A172,'KAPASİTE TABLOSU'!#REF!)</f>
        <v>#REF!</v>
      </c>
      <c r="E172" s="14" t="e">
        <f>SUMIF('KAPASİTE TABLOSU'!$F:$F,'İL-İLÇE BAZINDA KAPASİTE'!$A172,'KAPASİTE TABLOSU'!#REF!)</f>
        <v>#REF!</v>
      </c>
      <c r="F172" s="12" t="str">
        <f t="shared" si="6"/>
        <v>İLÇE</v>
      </c>
      <c r="G172" s="12" t="s">
        <v>158</v>
      </c>
      <c r="H172" s="3" t="s">
        <v>527</v>
      </c>
    </row>
    <row r="173" spans="1:8" x14ac:dyDescent="0.25">
      <c r="A173" s="13" t="s">
        <v>772</v>
      </c>
      <c r="B173" s="14">
        <f>COUNTIF('KAPASİTE TABLOSU'!F:F,'İL-İLÇE BAZINDA KAPASİTE'!A173)</f>
        <v>0</v>
      </c>
      <c r="C173" s="14" t="e">
        <f>SUMIF('KAPASİTE TABLOSU'!$F:$F,'İL-İLÇE BAZINDA KAPASİTE'!$A173,'KAPASİTE TABLOSU'!#REF!)</f>
        <v>#REF!</v>
      </c>
      <c r="D173" s="14" t="e">
        <f>SUMIF('KAPASİTE TABLOSU'!$F:$F,'İL-İLÇE BAZINDA KAPASİTE'!$A173,'KAPASİTE TABLOSU'!#REF!)</f>
        <v>#REF!</v>
      </c>
      <c r="E173" s="14" t="e">
        <f>SUMIF('KAPASİTE TABLOSU'!$F:$F,'İL-İLÇE BAZINDA KAPASİTE'!$A173,'KAPASİTE TABLOSU'!#REF!)</f>
        <v>#REF!</v>
      </c>
      <c r="F173" s="12" t="str">
        <f t="shared" si="6"/>
        <v>İL</v>
      </c>
      <c r="G173" s="12" t="s">
        <v>122</v>
      </c>
      <c r="H173" s="3" t="s">
        <v>122</v>
      </c>
    </row>
    <row r="174" spans="1:8" x14ac:dyDescent="0.25">
      <c r="A174" s="13" t="s">
        <v>773</v>
      </c>
      <c r="B174" s="14">
        <f>COUNTIF('KAPASİTE TABLOSU'!F:F,'İL-İLÇE BAZINDA KAPASİTE'!A174)</f>
        <v>0</v>
      </c>
      <c r="C174" s="14" t="e">
        <f>SUMIF('KAPASİTE TABLOSU'!$F:$F,'İL-İLÇE BAZINDA KAPASİTE'!$A174,'KAPASİTE TABLOSU'!#REF!)</f>
        <v>#REF!</v>
      </c>
      <c r="D174" s="14" t="e">
        <f>SUMIF('KAPASİTE TABLOSU'!$F:$F,'İL-İLÇE BAZINDA KAPASİTE'!$A174,'KAPASİTE TABLOSU'!#REF!)</f>
        <v>#REF!</v>
      </c>
      <c r="E174" s="14" t="e">
        <f>SUMIF('KAPASİTE TABLOSU'!$F:$F,'İL-İLÇE BAZINDA KAPASİTE'!$A174,'KAPASİTE TABLOSU'!#REF!)</f>
        <v>#REF!</v>
      </c>
      <c r="F174" s="12" t="str">
        <f t="shared" si="6"/>
        <v>İLÇE</v>
      </c>
      <c r="G174" s="12" t="s">
        <v>122</v>
      </c>
      <c r="H174" s="3" t="s">
        <v>123</v>
      </c>
    </row>
    <row r="175" spans="1:8" x14ac:dyDescent="0.25">
      <c r="A175" s="13" t="s">
        <v>774</v>
      </c>
      <c r="B175" s="14">
        <f>COUNTIF('KAPASİTE TABLOSU'!F:F,'İL-İLÇE BAZINDA KAPASİTE'!A175)</f>
        <v>0</v>
      </c>
      <c r="C175" s="14" t="e">
        <f>SUMIF('KAPASİTE TABLOSU'!$F:$F,'İL-İLÇE BAZINDA KAPASİTE'!$A175,'KAPASİTE TABLOSU'!#REF!)</f>
        <v>#REF!</v>
      </c>
      <c r="D175" s="14" t="e">
        <f>SUMIF('KAPASİTE TABLOSU'!$F:$F,'İL-İLÇE BAZINDA KAPASİTE'!$A175,'KAPASİTE TABLOSU'!#REF!)</f>
        <v>#REF!</v>
      </c>
      <c r="E175" s="14" t="e">
        <f>SUMIF('KAPASİTE TABLOSU'!$F:$F,'İL-İLÇE BAZINDA KAPASİTE'!$A175,'KAPASİTE TABLOSU'!#REF!)</f>
        <v>#REF!</v>
      </c>
      <c r="F175" s="12" t="str">
        <f t="shared" si="6"/>
        <v>İLÇE</v>
      </c>
      <c r="G175" s="12" t="s">
        <v>122</v>
      </c>
      <c r="H175" s="3" t="s">
        <v>124</v>
      </c>
    </row>
    <row r="176" spans="1:8" x14ac:dyDescent="0.25">
      <c r="A176" s="13" t="s">
        <v>775</v>
      </c>
      <c r="B176" s="14">
        <f>COUNTIF('KAPASİTE TABLOSU'!F:F,'İL-İLÇE BAZINDA KAPASİTE'!A176)</f>
        <v>0</v>
      </c>
      <c r="C176" s="14" t="e">
        <f>SUMIF('KAPASİTE TABLOSU'!$F:$F,'İL-İLÇE BAZINDA KAPASİTE'!$A176,'KAPASİTE TABLOSU'!#REF!)</f>
        <v>#REF!</v>
      </c>
      <c r="D176" s="14" t="e">
        <f>SUMIF('KAPASİTE TABLOSU'!$F:$F,'İL-İLÇE BAZINDA KAPASİTE'!$A176,'KAPASİTE TABLOSU'!#REF!)</f>
        <v>#REF!</v>
      </c>
      <c r="E176" s="14" t="e">
        <f>SUMIF('KAPASİTE TABLOSU'!$F:$F,'İL-İLÇE BAZINDA KAPASİTE'!$A176,'KAPASİTE TABLOSU'!#REF!)</f>
        <v>#REF!</v>
      </c>
      <c r="F176" s="12" t="str">
        <f t="shared" si="6"/>
        <v>İLÇE</v>
      </c>
      <c r="G176" s="12" t="s">
        <v>122</v>
      </c>
      <c r="H176" s="3" t="s">
        <v>125</v>
      </c>
    </row>
    <row r="177" spans="1:8" x14ac:dyDescent="0.25">
      <c r="A177" s="13" t="s">
        <v>776</v>
      </c>
      <c r="B177" s="14">
        <f>COUNTIF('KAPASİTE TABLOSU'!F:F,'İL-İLÇE BAZINDA KAPASİTE'!A177)</f>
        <v>0</v>
      </c>
      <c r="C177" s="14" t="e">
        <f>SUMIF('KAPASİTE TABLOSU'!$F:$F,'İL-İLÇE BAZINDA KAPASİTE'!$A177,'KAPASİTE TABLOSU'!#REF!)</f>
        <v>#REF!</v>
      </c>
      <c r="D177" s="14" t="e">
        <f>SUMIF('KAPASİTE TABLOSU'!$F:$F,'İL-İLÇE BAZINDA KAPASİTE'!$A177,'KAPASİTE TABLOSU'!#REF!)</f>
        <v>#REF!</v>
      </c>
      <c r="E177" s="14" t="e">
        <f>SUMIF('KAPASİTE TABLOSU'!$F:$F,'İL-İLÇE BAZINDA KAPASİTE'!$A177,'KAPASİTE TABLOSU'!#REF!)</f>
        <v>#REF!</v>
      </c>
      <c r="F177" s="12" t="str">
        <f t="shared" si="6"/>
        <v>İLÇE</v>
      </c>
      <c r="G177" s="12" t="s">
        <v>122</v>
      </c>
      <c r="H177" s="3" t="s">
        <v>126</v>
      </c>
    </row>
    <row r="178" spans="1:8" x14ac:dyDescent="0.25">
      <c r="A178" s="13" t="s">
        <v>777</v>
      </c>
      <c r="B178" s="14">
        <f>COUNTIF('KAPASİTE TABLOSU'!F:F,'İL-İLÇE BAZINDA KAPASİTE'!A178)</f>
        <v>0</v>
      </c>
      <c r="C178" s="14" t="e">
        <f>SUMIF('KAPASİTE TABLOSU'!$F:$F,'İL-İLÇE BAZINDA KAPASİTE'!$A178,'KAPASİTE TABLOSU'!#REF!)</f>
        <v>#REF!</v>
      </c>
      <c r="D178" s="14" t="e">
        <f>SUMIF('KAPASİTE TABLOSU'!$F:$F,'İL-İLÇE BAZINDA KAPASİTE'!$A178,'KAPASİTE TABLOSU'!#REF!)</f>
        <v>#REF!</v>
      </c>
      <c r="E178" s="14" t="e">
        <f>SUMIF('KAPASİTE TABLOSU'!$F:$F,'İL-İLÇE BAZINDA KAPASİTE'!$A178,'KAPASİTE TABLOSU'!#REF!)</f>
        <v>#REF!</v>
      </c>
      <c r="F178" s="12" t="str">
        <f t="shared" si="6"/>
        <v>İLÇE</v>
      </c>
      <c r="G178" s="12" t="s">
        <v>122</v>
      </c>
      <c r="H178" s="3" t="s">
        <v>127</v>
      </c>
    </row>
    <row r="179" spans="1:8" x14ac:dyDescent="0.25">
      <c r="A179" s="13" t="s">
        <v>778</v>
      </c>
      <c r="B179" s="14">
        <f>COUNTIF('KAPASİTE TABLOSU'!F:F,'İL-İLÇE BAZINDA KAPASİTE'!A179)</f>
        <v>0</v>
      </c>
      <c r="C179" s="14" t="e">
        <f>SUMIF('KAPASİTE TABLOSU'!$F:$F,'İL-İLÇE BAZINDA KAPASİTE'!$A179,'KAPASİTE TABLOSU'!#REF!)</f>
        <v>#REF!</v>
      </c>
      <c r="D179" s="14" t="e">
        <f>SUMIF('KAPASİTE TABLOSU'!$F:$F,'İL-İLÇE BAZINDA KAPASİTE'!$A179,'KAPASİTE TABLOSU'!#REF!)</f>
        <v>#REF!</v>
      </c>
      <c r="E179" s="14" t="e">
        <f>SUMIF('KAPASİTE TABLOSU'!$F:$F,'İL-İLÇE BAZINDA KAPASİTE'!$A179,'KAPASİTE TABLOSU'!#REF!)</f>
        <v>#REF!</v>
      </c>
      <c r="F179" s="12" t="str">
        <f t="shared" si="6"/>
        <v>İLÇE</v>
      </c>
      <c r="G179" s="12" t="s">
        <v>122</v>
      </c>
      <c r="H179" s="3" t="s">
        <v>128</v>
      </c>
    </row>
    <row r="180" spans="1:8" x14ac:dyDescent="0.25">
      <c r="A180" s="13" t="s">
        <v>779</v>
      </c>
      <c r="B180" s="14">
        <f>COUNTIF('KAPASİTE TABLOSU'!F:F,'İL-İLÇE BAZINDA KAPASİTE'!A180)</f>
        <v>0</v>
      </c>
      <c r="C180" s="14" t="e">
        <f>SUMIF('KAPASİTE TABLOSU'!$F:$F,'İL-İLÇE BAZINDA KAPASİTE'!$A180,'KAPASİTE TABLOSU'!#REF!)</f>
        <v>#REF!</v>
      </c>
      <c r="D180" s="14" t="e">
        <f>SUMIF('KAPASİTE TABLOSU'!$F:$F,'İL-İLÇE BAZINDA KAPASİTE'!$A180,'KAPASİTE TABLOSU'!#REF!)</f>
        <v>#REF!</v>
      </c>
      <c r="E180" s="14" t="e">
        <f>SUMIF('KAPASİTE TABLOSU'!$F:$F,'İL-İLÇE BAZINDA KAPASİTE'!$A180,'KAPASİTE TABLOSU'!#REF!)</f>
        <v>#REF!</v>
      </c>
      <c r="F180" s="12" t="str">
        <f t="shared" si="6"/>
        <v>İLÇE</v>
      </c>
      <c r="G180" s="12" t="s">
        <v>122</v>
      </c>
      <c r="H180" s="3" t="s">
        <v>129</v>
      </c>
    </row>
    <row r="181" spans="1:8" x14ac:dyDescent="0.25">
      <c r="A181" s="13" t="s">
        <v>780</v>
      </c>
      <c r="B181" s="14">
        <f>COUNTIF('KAPASİTE TABLOSU'!F:F,'İL-İLÇE BAZINDA KAPASİTE'!A181)</f>
        <v>0</v>
      </c>
      <c r="C181" s="14" t="e">
        <f>SUMIF('KAPASİTE TABLOSU'!$F:$F,'İL-İLÇE BAZINDA KAPASİTE'!$A181,'KAPASİTE TABLOSU'!#REF!)</f>
        <v>#REF!</v>
      </c>
      <c r="D181" s="14" t="e">
        <f>SUMIF('KAPASİTE TABLOSU'!$F:$F,'İL-İLÇE BAZINDA KAPASİTE'!$A181,'KAPASİTE TABLOSU'!#REF!)</f>
        <v>#REF!</v>
      </c>
      <c r="E181" s="14" t="e">
        <f>SUMIF('KAPASİTE TABLOSU'!$F:$F,'İL-İLÇE BAZINDA KAPASİTE'!$A181,'KAPASİTE TABLOSU'!#REF!)</f>
        <v>#REF!</v>
      </c>
      <c r="F181" s="12" t="str">
        <f t="shared" si="6"/>
        <v>İLÇE</v>
      </c>
      <c r="G181" s="12" t="s">
        <v>122</v>
      </c>
      <c r="H181" s="3" t="s">
        <v>130</v>
      </c>
    </row>
    <row r="182" spans="1:8" x14ac:dyDescent="0.25">
      <c r="A182" s="13" t="s">
        <v>781</v>
      </c>
      <c r="B182" s="14">
        <f>COUNTIF('KAPASİTE TABLOSU'!F:F,'İL-İLÇE BAZINDA KAPASİTE'!A182)</f>
        <v>0</v>
      </c>
      <c r="C182" s="14" t="e">
        <f>SUMIF('KAPASİTE TABLOSU'!$F:$F,'İL-İLÇE BAZINDA KAPASİTE'!$A182,'KAPASİTE TABLOSU'!#REF!)</f>
        <v>#REF!</v>
      </c>
      <c r="D182" s="14" t="e">
        <f>SUMIF('KAPASİTE TABLOSU'!$F:$F,'İL-İLÇE BAZINDA KAPASİTE'!$A182,'KAPASİTE TABLOSU'!#REF!)</f>
        <v>#REF!</v>
      </c>
      <c r="E182" s="14" t="e">
        <f>SUMIF('KAPASİTE TABLOSU'!$F:$F,'İL-İLÇE BAZINDA KAPASİTE'!$A182,'KAPASİTE TABLOSU'!#REF!)</f>
        <v>#REF!</v>
      </c>
      <c r="F182" s="12" t="str">
        <f t="shared" si="6"/>
        <v>İL</v>
      </c>
      <c r="G182" s="12" t="s">
        <v>74</v>
      </c>
      <c r="H182" s="3" t="s">
        <v>74</v>
      </c>
    </row>
    <row r="183" spans="1:8" x14ac:dyDescent="0.25">
      <c r="A183" s="13" t="s">
        <v>924</v>
      </c>
      <c r="B183" s="14">
        <f>COUNTIF('KAPASİTE TABLOSU'!F:F,'İL-İLÇE BAZINDA KAPASİTE'!A183)</f>
        <v>0</v>
      </c>
      <c r="C183" s="14" t="e">
        <f>SUMIF('KAPASİTE TABLOSU'!$F:$F,'İL-İLÇE BAZINDA KAPASİTE'!$A183,'KAPASİTE TABLOSU'!#REF!)</f>
        <v>#REF!</v>
      </c>
      <c r="D183" s="14" t="e">
        <f>SUMIF('KAPASİTE TABLOSU'!$F:$F,'İL-İLÇE BAZINDA KAPASİTE'!$A183,'KAPASİTE TABLOSU'!#REF!)</f>
        <v>#REF!</v>
      </c>
      <c r="E183" s="14" t="e">
        <f>SUMIF('KAPASİTE TABLOSU'!$F:$F,'İL-İLÇE BAZINDA KAPASİTE'!$A183,'KAPASİTE TABLOSU'!#REF!)</f>
        <v>#REF!</v>
      </c>
      <c r="F183" s="12" t="str">
        <f t="shared" si="6"/>
        <v>İLÇE</v>
      </c>
      <c r="G183" s="12" t="s">
        <v>74</v>
      </c>
      <c r="H183" s="3" t="s">
        <v>922</v>
      </c>
    </row>
    <row r="184" spans="1:8" x14ac:dyDescent="0.25">
      <c r="A184" s="13" t="s">
        <v>782</v>
      </c>
      <c r="B184" s="14">
        <f>COUNTIF('KAPASİTE TABLOSU'!F:F,'İL-İLÇE BAZINDA KAPASİTE'!A184)</f>
        <v>0</v>
      </c>
      <c r="C184" s="14" t="e">
        <f>SUMIF('KAPASİTE TABLOSU'!$F:$F,'İL-İLÇE BAZINDA KAPASİTE'!$A184,'KAPASİTE TABLOSU'!#REF!)</f>
        <v>#REF!</v>
      </c>
      <c r="D184" s="14" t="e">
        <f>SUMIF('KAPASİTE TABLOSU'!$F:$F,'İL-İLÇE BAZINDA KAPASİTE'!$A184,'KAPASİTE TABLOSU'!#REF!)</f>
        <v>#REF!</v>
      </c>
      <c r="E184" s="14" t="e">
        <f>SUMIF('KAPASİTE TABLOSU'!$F:$F,'İL-İLÇE BAZINDA KAPASİTE'!$A184,'KAPASİTE TABLOSU'!#REF!)</f>
        <v>#REF!</v>
      </c>
      <c r="F184" s="12" t="str">
        <f t="shared" si="6"/>
        <v>İL</v>
      </c>
      <c r="G184" s="12" t="s">
        <v>11</v>
      </c>
      <c r="H184" s="3" t="s">
        <v>11</v>
      </c>
    </row>
    <row r="185" spans="1:8" x14ac:dyDescent="0.25">
      <c r="A185" s="13" t="s">
        <v>783</v>
      </c>
      <c r="B185" s="14">
        <f>COUNTIF('KAPASİTE TABLOSU'!F:F,'İL-İLÇE BAZINDA KAPASİTE'!A185)</f>
        <v>0</v>
      </c>
      <c r="C185" s="14" t="e">
        <f>SUMIF('KAPASİTE TABLOSU'!$F:$F,'İL-İLÇE BAZINDA KAPASİTE'!$A185,'KAPASİTE TABLOSU'!#REF!)</f>
        <v>#REF!</v>
      </c>
      <c r="D185" s="14" t="e">
        <f>SUMIF('KAPASİTE TABLOSU'!$F:$F,'İL-İLÇE BAZINDA KAPASİTE'!$A185,'KAPASİTE TABLOSU'!#REF!)</f>
        <v>#REF!</v>
      </c>
      <c r="E185" s="14" t="e">
        <f>SUMIF('KAPASİTE TABLOSU'!$F:$F,'İL-İLÇE BAZINDA KAPASİTE'!$A185,'KAPASİTE TABLOSU'!#REF!)</f>
        <v>#REF!</v>
      </c>
      <c r="F185" s="12" t="str">
        <f t="shared" si="6"/>
        <v>İLÇE</v>
      </c>
      <c r="G185" s="12" t="s">
        <v>11</v>
      </c>
      <c r="H185" s="3" t="s">
        <v>554</v>
      </c>
    </row>
    <row r="186" spans="1:8" x14ac:dyDescent="0.25">
      <c r="A186" s="13" t="s">
        <v>784</v>
      </c>
      <c r="B186" s="14">
        <f>COUNTIF('KAPASİTE TABLOSU'!F:F,'İL-İLÇE BAZINDA KAPASİTE'!A186)</f>
        <v>0</v>
      </c>
      <c r="C186" s="14" t="e">
        <f>SUMIF('KAPASİTE TABLOSU'!$F:$F,'İL-İLÇE BAZINDA KAPASİTE'!$A186,'KAPASİTE TABLOSU'!#REF!)</f>
        <v>#REF!</v>
      </c>
      <c r="D186" s="14" t="e">
        <f>SUMIF('KAPASİTE TABLOSU'!$F:$F,'İL-İLÇE BAZINDA KAPASİTE'!$A186,'KAPASİTE TABLOSU'!#REF!)</f>
        <v>#REF!</v>
      </c>
      <c r="E186" s="14" t="e">
        <f>SUMIF('KAPASİTE TABLOSU'!$F:$F,'İL-İLÇE BAZINDA KAPASİTE'!$A186,'KAPASİTE TABLOSU'!#REF!)</f>
        <v>#REF!</v>
      </c>
      <c r="F186" s="12" t="str">
        <f t="shared" si="6"/>
        <v>İLÇE</v>
      </c>
      <c r="G186" s="12" t="s">
        <v>11</v>
      </c>
      <c r="H186" s="3" t="s">
        <v>12</v>
      </c>
    </row>
    <row r="187" spans="1:8" x14ac:dyDescent="0.25">
      <c r="A187" s="13" t="s">
        <v>785</v>
      </c>
      <c r="B187" s="14">
        <f>COUNTIF('KAPASİTE TABLOSU'!F:F,'İL-İLÇE BAZINDA KAPASİTE'!A187)</f>
        <v>0</v>
      </c>
      <c r="C187" s="14" t="e">
        <f>SUMIF('KAPASİTE TABLOSU'!$F:$F,'İL-İLÇE BAZINDA KAPASİTE'!$A187,'KAPASİTE TABLOSU'!#REF!)</f>
        <v>#REF!</v>
      </c>
      <c r="D187" s="14" t="e">
        <f>SUMIF('KAPASİTE TABLOSU'!$F:$F,'İL-İLÇE BAZINDA KAPASİTE'!$A187,'KAPASİTE TABLOSU'!#REF!)</f>
        <v>#REF!</v>
      </c>
      <c r="E187" s="14" t="e">
        <f>SUMIF('KAPASİTE TABLOSU'!$F:$F,'İL-İLÇE BAZINDA KAPASİTE'!$A187,'KAPASİTE TABLOSU'!#REF!)</f>
        <v>#REF!</v>
      </c>
      <c r="F187" s="12" t="str">
        <f t="shared" si="6"/>
        <v>İLÇE</v>
      </c>
      <c r="G187" s="12" t="s">
        <v>11</v>
      </c>
      <c r="H187" s="3" t="s">
        <v>552</v>
      </c>
    </row>
    <row r="188" spans="1:8" x14ac:dyDescent="0.25">
      <c r="A188" s="13" t="s">
        <v>786</v>
      </c>
      <c r="B188" s="14">
        <f>COUNTIF('KAPASİTE TABLOSU'!F:F,'İL-İLÇE BAZINDA KAPASİTE'!A188)</f>
        <v>0</v>
      </c>
      <c r="C188" s="14" t="e">
        <f>SUMIF('KAPASİTE TABLOSU'!$F:$F,'İL-İLÇE BAZINDA KAPASİTE'!$A188,'KAPASİTE TABLOSU'!#REF!)</f>
        <v>#REF!</v>
      </c>
      <c r="D188" s="14" t="e">
        <f>SUMIF('KAPASİTE TABLOSU'!$F:$F,'İL-İLÇE BAZINDA KAPASİTE'!$A188,'KAPASİTE TABLOSU'!#REF!)</f>
        <v>#REF!</v>
      </c>
      <c r="E188" s="14" t="e">
        <f>SUMIF('KAPASİTE TABLOSU'!$F:$F,'İL-İLÇE BAZINDA KAPASİTE'!$A188,'KAPASİTE TABLOSU'!#REF!)</f>
        <v>#REF!</v>
      </c>
      <c r="F188" s="12" t="str">
        <f t="shared" si="6"/>
        <v>İLÇE</v>
      </c>
      <c r="G188" s="12" t="s">
        <v>11</v>
      </c>
      <c r="H188" s="3" t="s">
        <v>13</v>
      </c>
    </row>
    <row r="189" spans="1:8" x14ac:dyDescent="0.25">
      <c r="A189" s="13" t="s">
        <v>787</v>
      </c>
      <c r="B189" s="14">
        <f>COUNTIF('KAPASİTE TABLOSU'!F:F,'İL-İLÇE BAZINDA KAPASİTE'!A189)</f>
        <v>0</v>
      </c>
      <c r="C189" s="14" t="e">
        <f>SUMIF('KAPASİTE TABLOSU'!$F:$F,'İL-İLÇE BAZINDA KAPASİTE'!$A189,'KAPASİTE TABLOSU'!#REF!)</f>
        <v>#REF!</v>
      </c>
      <c r="D189" s="14" t="e">
        <f>SUMIF('KAPASİTE TABLOSU'!$F:$F,'İL-İLÇE BAZINDA KAPASİTE'!$A189,'KAPASİTE TABLOSU'!#REF!)</f>
        <v>#REF!</v>
      </c>
      <c r="E189" s="14" t="e">
        <f>SUMIF('KAPASİTE TABLOSU'!$F:$F,'İL-İLÇE BAZINDA KAPASİTE'!$A189,'KAPASİTE TABLOSU'!#REF!)</f>
        <v>#REF!</v>
      </c>
      <c r="F189" s="12" t="str">
        <f t="shared" si="6"/>
        <v>İL</v>
      </c>
      <c r="G189" s="12" t="s">
        <v>67</v>
      </c>
      <c r="H189" s="3" t="s">
        <v>67</v>
      </c>
    </row>
    <row r="190" spans="1:8" x14ac:dyDescent="0.25">
      <c r="A190" s="13" t="s">
        <v>788</v>
      </c>
      <c r="B190" s="14">
        <f>COUNTIF('KAPASİTE TABLOSU'!F:F,'İL-İLÇE BAZINDA KAPASİTE'!A190)</f>
        <v>0</v>
      </c>
      <c r="C190" s="14" t="e">
        <f>SUMIF('KAPASİTE TABLOSU'!$F:$F,'İL-İLÇE BAZINDA KAPASİTE'!$A190,'KAPASİTE TABLOSU'!#REF!)</f>
        <v>#REF!</v>
      </c>
      <c r="D190" s="14" t="e">
        <f>SUMIF('KAPASİTE TABLOSU'!$F:$F,'İL-İLÇE BAZINDA KAPASİTE'!$A190,'KAPASİTE TABLOSU'!#REF!)</f>
        <v>#REF!</v>
      </c>
      <c r="E190" s="14" t="e">
        <f>SUMIF('KAPASİTE TABLOSU'!$F:$F,'İL-İLÇE BAZINDA KAPASİTE'!$A190,'KAPASİTE TABLOSU'!#REF!)</f>
        <v>#REF!</v>
      </c>
      <c r="F190" s="12" t="str">
        <f t="shared" si="6"/>
        <v>İLÇE</v>
      </c>
      <c r="G190" s="12" t="s">
        <v>67</v>
      </c>
      <c r="H190" s="3" t="s">
        <v>69</v>
      </c>
    </row>
    <row r="191" spans="1:8" x14ac:dyDescent="0.25">
      <c r="A191" s="13" t="s">
        <v>789</v>
      </c>
      <c r="B191" s="14">
        <f>COUNTIF('KAPASİTE TABLOSU'!F:F,'İL-İLÇE BAZINDA KAPASİTE'!A191)</f>
        <v>0</v>
      </c>
      <c r="C191" s="14" t="e">
        <f>SUMIF('KAPASİTE TABLOSU'!$F:$F,'İL-İLÇE BAZINDA KAPASİTE'!$A191,'KAPASİTE TABLOSU'!#REF!)</f>
        <v>#REF!</v>
      </c>
      <c r="D191" s="14" t="e">
        <f>SUMIF('KAPASİTE TABLOSU'!$F:$F,'İL-İLÇE BAZINDA KAPASİTE'!$A191,'KAPASİTE TABLOSU'!#REF!)</f>
        <v>#REF!</v>
      </c>
      <c r="E191" s="14" t="e">
        <f>SUMIF('KAPASİTE TABLOSU'!$F:$F,'İL-İLÇE BAZINDA KAPASİTE'!$A191,'KAPASİTE TABLOSU'!#REF!)</f>
        <v>#REF!</v>
      </c>
      <c r="F191" s="12" t="str">
        <f t="shared" si="6"/>
        <v>İLÇE</v>
      </c>
      <c r="G191" s="12" t="s">
        <v>67</v>
      </c>
      <c r="H191" s="3" t="s">
        <v>68</v>
      </c>
    </row>
    <row r="192" spans="1:8" x14ac:dyDescent="0.25">
      <c r="A192" s="13" t="s">
        <v>790</v>
      </c>
      <c r="B192" s="14">
        <f>COUNTIF('KAPASİTE TABLOSU'!F:F,'İL-İLÇE BAZINDA KAPASİTE'!A192)</f>
        <v>0</v>
      </c>
      <c r="C192" s="14" t="e">
        <f>SUMIF('KAPASİTE TABLOSU'!$F:$F,'İL-İLÇE BAZINDA KAPASİTE'!$A192,'KAPASİTE TABLOSU'!#REF!)</f>
        <v>#REF!</v>
      </c>
      <c r="D192" s="14" t="e">
        <f>SUMIF('KAPASİTE TABLOSU'!$F:$F,'İL-İLÇE BAZINDA KAPASİTE'!$A192,'KAPASİTE TABLOSU'!#REF!)</f>
        <v>#REF!</v>
      </c>
      <c r="E192" s="14" t="e">
        <f>SUMIF('KAPASİTE TABLOSU'!$F:$F,'İL-İLÇE BAZINDA KAPASİTE'!$A192,'KAPASİTE TABLOSU'!#REF!)</f>
        <v>#REF!</v>
      </c>
      <c r="F192" s="12" t="str">
        <f t="shared" si="6"/>
        <v>İL</v>
      </c>
      <c r="G192" s="12" t="s">
        <v>209</v>
      </c>
      <c r="H192" s="3" t="s">
        <v>209</v>
      </c>
    </row>
    <row r="193" spans="1:8" x14ac:dyDescent="0.25">
      <c r="A193" s="13" t="s">
        <v>791</v>
      </c>
      <c r="B193" s="14">
        <f>COUNTIF('KAPASİTE TABLOSU'!F:F,'İL-İLÇE BAZINDA KAPASİTE'!A193)</f>
        <v>0</v>
      </c>
      <c r="C193" s="14" t="e">
        <f>SUMIF('KAPASİTE TABLOSU'!$F:$F,'İL-İLÇE BAZINDA KAPASİTE'!$A193,'KAPASİTE TABLOSU'!#REF!)</f>
        <v>#REF!</v>
      </c>
      <c r="D193" s="14" t="e">
        <f>SUMIF('KAPASİTE TABLOSU'!$F:$F,'İL-İLÇE BAZINDA KAPASİTE'!$A193,'KAPASİTE TABLOSU'!#REF!)</f>
        <v>#REF!</v>
      </c>
      <c r="E193" s="14" t="e">
        <f>SUMIF('KAPASİTE TABLOSU'!$F:$F,'İL-İLÇE BAZINDA KAPASİTE'!$A193,'KAPASİTE TABLOSU'!#REF!)</f>
        <v>#REF!</v>
      </c>
      <c r="F193" s="12" t="str">
        <f t="shared" si="6"/>
        <v>İLÇE</v>
      </c>
      <c r="G193" s="12" t="s">
        <v>209</v>
      </c>
      <c r="H193" s="3" t="s">
        <v>210</v>
      </c>
    </row>
    <row r="194" spans="1:8" x14ac:dyDescent="0.25">
      <c r="A194" s="13" t="s">
        <v>792</v>
      </c>
      <c r="B194" s="14">
        <f>COUNTIF('KAPASİTE TABLOSU'!F:F,'İL-İLÇE BAZINDA KAPASİTE'!A194)</f>
        <v>0</v>
      </c>
      <c r="C194" s="14" t="e">
        <f>SUMIF('KAPASİTE TABLOSU'!$F:$F,'İL-İLÇE BAZINDA KAPASİTE'!$A194,'KAPASİTE TABLOSU'!#REF!)</f>
        <v>#REF!</v>
      </c>
      <c r="D194" s="14" t="e">
        <f>SUMIF('KAPASİTE TABLOSU'!$F:$F,'İL-İLÇE BAZINDA KAPASİTE'!$A194,'KAPASİTE TABLOSU'!#REF!)</f>
        <v>#REF!</v>
      </c>
      <c r="E194" s="14" t="e">
        <f>SUMIF('KAPASİTE TABLOSU'!$F:$F,'İL-İLÇE BAZINDA KAPASİTE'!$A194,'KAPASİTE TABLOSU'!#REF!)</f>
        <v>#REF!</v>
      </c>
      <c r="F194" s="12" t="str">
        <f t="shared" si="6"/>
        <v>İL</v>
      </c>
      <c r="G194" s="12" t="s">
        <v>136</v>
      </c>
      <c r="H194" s="3" t="s">
        <v>136</v>
      </c>
    </row>
    <row r="195" spans="1:8" x14ac:dyDescent="0.25">
      <c r="A195" s="13" t="s">
        <v>793</v>
      </c>
      <c r="B195" s="14">
        <f>COUNTIF('KAPASİTE TABLOSU'!F:F,'İL-İLÇE BAZINDA KAPASİTE'!A195)</f>
        <v>0</v>
      </c>
      <c r="C195" s="14" t="e">
        <f>SUMIF('KAPASİTE TABLOSU'!$F:$F,'İL-İLÇE BAZINDA KAPASİTE'!$A195,'KAPASİTE TABLOSU'!#REF!)</f>
        <v>#REF!</v>
      </c>
      <c r="D195" s="14" t="e">
        <f>SUMIF('KAPASİTE TABLOSU'!$F:$F,'İL-İLÇE BAZINDA KAPASİTE'!$A195,'KAPASİTE TABLOSU'!#REF!)</f>
        <v>#REF!</v>
      </c>
      <c r="E195" s="14" t="e">
        <f>SUMIF('KAPASİTE TABLOSU'!$F:$F,'İL-İLÇE BAZINDA KAPASİTE'!$A195,'KAPASİTE TABLOSU'!#REF!)</f>
        <v>#REF!</v>
      </c>
      <c r="F195" s="12" t="str">
        <f t="shared" si="6"/>
        <v>İLÇE</v>
      </c>
      <c r="G195" s="12" t="s">
        <v>136</v>
      </c>
      <c r="H195" s="3" t="s">
        <v>137</v>
      </c>
    </row>
    <row r="196" spans="1:8" x14ac:dyDescent="0.25">
      <c r="A196" s="13" t="s">
        <v>794</v>
      </c>
      <c r="B196" s="14">
        <f>COUNTIF('KAPASİTE TABLOSU'!F:F,'İL-İLÇE BAZINDA KAPASİTE'!A196)</f>
        <v>0</v>
      </c>
      <c r="C196" s="14" t="e">
        <f>SUMIF('KAPASİTE TABLOSU'!$F:$F,'İL-İLÇE BAZINDA KAPASİTE'!$A196,'KAPASİTE TABLOSU'!#REF!)</f>
        <v>#REF!</v>
      </c>
      <c r="D196" s="14" t="e">
        <f>SUMIF('KAPASİTE TABLOSU'!$F:$F,'İL-İLÇE BAZINDA KAPASİTE'!$A196,'KAPASİTE TABLOSU'!#REF!)</f>
        <v>#REF!</v>
      </c>
      <c r="E196" s="14" t="e">
        <f>SUMIF('KAPASİTE TABLOSU'!$F:$F,'İL-İLÇE BAZINDA KAPASİTE'!$A196,'KAPASİTE TABLOSU'!#REF!)</f>
        <v>#REF!</v>
      </c>
      <c r="F196" s="12" t="str">
        <f t="shared" si="6"/>
        <v>İLÇE</v>
      </c>
      <c r="G196" s="12" t="s">
        <v>136</v>
      </c>
      <c r="H196" s="3" t="s">
        <v>138</v>
      </c>
    </row>
    <row r="197" spans="1:8" x14ac:dyDescent="0.25">
      <c r="A197" s="13" t="s">
        <v>795</v>
      </c>
      <c r="B197" s="14">
        <f>COUNTIF('KAPASİTE TABLOSU'!F:F,'İL-İLÇE BAZINDA KAPASİTE'!A197)</f>
        <v>0</v>
      </c>
      <c r="C197" s="14" t="e">
        <f>SUMIF('KAPASİTE TABLOSU'!$F:$F,'İL-İLÇE BAZINDA KAPASİTE'!$A197,'KAPASİTE TABLOSU'!#REF!)</f>
        <v>#REF!</v>
      </c>
      <c r="D197" s="14" t="e">
        <f>SUMIF('KAPASİTE TABLOSU'!$F:$F,'İL-İLÇE BAZINDA KAPASİTE'!$A197,'KAPASİTE TABLOSU'!#REF!)</f>
        <v>#REF!</v>
      </c>
      <c r="E197" s="14" t="e">
        <f>SUMIF('KAPASİTE TABLOSU'!$F:$F,'İL-İLÇE BAZINDA KAPASİTE'!$A197,'KAPASİTE TABLOSU'!#REF!)</f>
        <v>#REF!</v>
      </c>
      <c r="F197" s="12" t="str">
        <f t="shared" si="6"/>
        <v>İL</v>
      </c>
      <c r="G197" s="12" t="s">
        <v>14</v>
      </c>
      <c r="H197" s="3" t="s">
        <v>14</v>
      </c>
    </row>
    <row r="198" spans="1:8" x14ac:dyDescent="0.25">
      <c r="A198" s="13" t="s">
        <v>796</v>
      </c>
      <c r="B198" s="14">
        <f>COUNTIF('KAPASİTE TABLOSU'!F:F,'İL-İLÇE BAZINDA KAPASİTE'!A198)</f>
        <v>0</v>
      </c>
      <c r="C198" s="14" t="e">
        <f>SUMIF('KAPASİTE TABLOSU'!$F:$F,'İL-İLÇE BAZINDA KAPASİTE'!$A198,'KAPASİTE TABLOSU'!#REF!)</f>
        <v>#REF!</v>
      </c>
      <c r="D198" s="14" t="e">
        <f>SUMIF('KAPASİTE TABLOSU'!$F:$F,'İL-İLÇE BAZINDA KAPASİTE'!$A198,'KAPASİTE TABLOSU'!#REF!)</f>
        <v>#REF!</v>
      </c>
      <c r="E198" s="14" t="e">
        <f>SUMIF('KAPASİTE TABLOSU'!$F:$F,'İL-İLÇE BAZINDA KAPASİTE'!$A198,'KAPASİTE TABLOSU'!#REF!)</f>
        <v>#REF!</v>
      </c>
      <c r="F198" s="12" t="str">
        <f t="shared" si="6"/>
        <v>İLÇE</v>
      </c>
      <c r="G198" s="12" t="s">
        <v>14</v>
      </c>
      <c r="H198" s="3" t="s">
        <v>15</v>
      </c>
    </row>
    <row r="199" spans="1:8" x14ac:dyDescent="0.25">
      <c r="A199" s="13" t="s">
        <v>797</v>
      </c>
      <c r="B199" s="14">
        <f>COUNTIF('KAPASİTE TABLOSU'!F:F,'İL-İLÇE BAZINDA KAPASİTE'!A199)</f>
        <v>0</v>
      </c>
      <c r="C199" s="14" t="e">
        <f>SUMIF('KAPASİTE TABLOSU'!$F:$F,'İL-İLÇE BAZINDA KAPASİTE'!$A199,'KAPASİTE TABLOSU'!#REF!)</f>
        <v>#REF!</v>
      </c>
      <c r="D199" s="14" t="e">
        <f>SUMIF('KAPASİTE TABLOSU'!$F:$F,'İL-İLÇE BAZINDA KAPASİTE'!$A199,'KAPASİTE TABLOSU'!#REF!)</f>
        <v>#REF!</v>
      </c>
      <c r="E199" s="14" t="e">
        <f>SUMIF('KAPASİTE TABLOSU'!$F:$F,'İL-İLÇE BAZINDA KAPASİTE'!$A199,'KAPASİTE TABLOSU'!#REF!)</f>
        <v>#REF!</v>
      </c>
      <c r="F199" s="12" t="str">
        <f t="shared" si="6"/>
        <v>İL</v>
      </c>
      <c r="G199" s="12" t="s">
        <v>191</v>
      </c>
      <c r="H199" s="3" t="s">
        <v>191</v>
      </c>
    </row>
    <row r="200" spans="1:8" x14ac:dyDescent="0.25">
      <c r="A200" s="13" t="s">
        <v>798</v>
      </c>
      <c r="B200" s="14">
        <f>COUNTIF('KAPASİTE TABLOSU'!F:F,'İL-İLÇE BAZINDA KAPASİTE'!A200)</f>
        <v>0</v>
      </c>
      <c r="C200" s="14" t="e">
        <f>SUMIF('KAPASİTE TABLOSU'!$F:$F,'İL-İLÇE BAZINDA KAPASİTE'!$A200,'KAPASİTE TABLOSU'!#REF!)</f>
        <v>#REF!</v>
      </c>
      <c r="D200" s="14" t="e">
        <f>SUMIF('KAPASİTE TABLOSU'!$F:$F,'İL-İLÇE BAZINDA KAPASİTE'!$A200,'KAPASİTE TABLOSU'!#REF!)</f>
        <v>#REF!</v>
      </c>
      <c r="E200" s="14" t="e">
        <f>SUMIF('KAPASİTE TABLOSU'!$F:$F,'İL-İLÇE BAZINDA KAPASİTE'!$A200,'KAPASİTE TABLOSU'!#REF!)</f>
        <v>#REF!</v>
      </c>
      <c r="F200" s="12" t="str">
        <f t="shared" ref="F200:F263" si="7">IF(G200=H200,"İL","İLÇE")</f>
        <v>İLÇE</v>
      </c>
      <c r="G200" s="12" t="s">
        <v>191</v>
      </c>
      <c r="H200" s="3" t="s">
        <v>192</v>
      </c>
    </row>
    <row r="201" spans="1:8" x14ac:dyDescent="0.25">
      <c r="A201" s="13" t="s">
        <v>799</v>
      </c>
      <c r="B201" s="14">
        <f>COUNTIF('KAPASİTE TABLOSU'!F:F,'İL-İLÇE BAZINDA KAPASİTE'!A201)</f>
        <v>0</v>
      </c>
      <c r="C201" s="14" t="e">
        <f>SUMIF('KAPASİTE TABLOSU'!$F:$F,'İL-İLÇE BAZINDA KAPASİTE'!$A201,'KAPASİTE TABLOSU'!#REF!)</f>
        <v>#REF!</v>
      </c>
      <c r="D201" s="14" t="e">
        <f>SUMIF('KAPASİTE TABLOSU'!$F:$F,'İL-İLÇE BAZINDA KAPASİTE'!$A201,'KAPASİTE TABLOSU'!#REF!)</f>
        <v>#REF!</v>
      </c>
      <c r="E201" s="14" t="e">
        <f>SUMIF('KAPASİTE TABLOSU'!$F:$F,'İL-İLÇE BAZINDA KAPASİTE'!$A201,'KAPASİTE TABLOSU'!#REF!)</f>
        <v>#REF!</v>
      </c>
      <c r="F201" s="12" t="str">
        <f t="shared" si="7"/>
        <v>İLÇE</v>
      </c>
      <c r="G201" s="12" t="s">
        <v>191</v>
      </c>
      <c r="H201" s="3" t="s">
        <v>193</v>
      </c>
    </row>
    <row r="202" spans="1:8" x14ac:dyDescent="0.25">
      <c r="A202" s="13" t="s">
        <v>800</v>
      </c>
      <c r="B202" s="14">
        <f>COUNTIF('KAPASİTE TABLOSU'!F:F,'İL-İLÇE BAZINDA KAPASİTE'!A202)</f>
        <v>0</v>
      </c>
      <c r="C202" s="14" t="e">
        <f>SUMIF('KAPASİTE TABLOSU'!$F:$F,'İL-İLÇE BAZINDA KAPASİTE'!$A202,'KAPASİTE TABLOSU'!#REF!)</f>
        <v>#REF!</v>
      </c>
      <c r="D202" s="14" t="e">
        <f>SUMIF('KAPASİTE TABLOSU'!$F:$F,'İL-İLÇE BAZINDA KAPASİTE'!$A202,'KAPASİTE TABLOSU'!#REF!)</f>
        <v>#REF!</v>
      </c>
      <c r="E202" s="14" t="e">
        <f>SUMIF('KAPASİTE TABLOSU'!$F:$F,'İL-İLÇE BAZINDA KAPASİTE'!$A202,'KAPASİTE TABLOSU'!#REF!)</f>
        <v>#REF!</v>
      </c>
      <c r="F202" s="12" t="str">
        <f t="shared" si="7"/>
        <v>İLÇE</v>
      </c>
      <c r="G202" s="12" t="s">
        <v>191</v>
      </c>
      <c r="H202" s="3" t="s">
        <v>194</v>
      </c>
    </row>
    <row r="203" spans="1:8" x14ac:dyDescent="0.25">
      <c r="A203" s="13" t="s">
        <v>801</v>
      </c>
      <c r="B203" s="14">
        <f>COUNTIF('KAPASİTE TABLOSU'!F:F,'İL-İLÇE BAZINDA KAPASİTE'!A203)</f>
        <v>0</v>
      </c>
      <c r="C203" s="14" t="e">
        <f>SUMIF('KAPASİTE TABLOSU'!$F:$F,'İL-İLÇE BAZINDA KAPASİTE'!$A203,'KAPASİTE TABLOSU'!#REF!)</f>
        <v>#REF!</v>
      </c>
      <c r="D203" s="14" t="e">
        <f>SUMIF('KAPASİTE TABLOSU'!$F:$F,'İL-İLÇE BAZINDA KAPASİTE'!$A203,'KAPASİTE TABLOSU'!#REF!)</f>
        <v>#REF!</v>
      </c>
      <c r="E203" s="14" t="e">
        <f>SUMIF('KAPASİTE TABLOSU'!$F:$F,'İL-İLÇE BAZINDA KAPASİTE'!$A203,'KAPASİTE TABLOSU'!#REF!)</f>
        <v>#REF!</v>
      </c>
      <c r="F203" s="12" t="str">
        <f t="shared" ref="F203" si="8">IF(G203=H203,"İL","İLÇE")</f>
        <v>İL</v>
      </c>
      <c r="G203" s="12" t="s">
        <v>16</v>
      </c>
      <c r="H203" s="3" t="s">
        <v>16</v>
      </c>
    </row>
    <row r="204" spans="1:8" x14ac:dyDescent="0.25">
      <c r="A204" s="13" t="s">
        <v>1106</v>
      </c>
      <c r="B204" s="14">
        <f>COUNTIF('KAPASİTE TABLOSU'!F:F,'İL-İLÇE BAZINDA KAPASİTE'!A204)</f>
        <v>0</v>
      </c>
      <c r="C204" s="14" t="e">
        <f>SUMIF('KAPASİTE TABLOSU'!$F:$F,'İL-İLÇE BAZINDA KAPASİTE'!$A204,'KAPASİTE TABLOSU'!#REF!)</f>
        <v>#REF!</v>
      </c>
      <c r="D204" s="14" t="e">
        <f>SUMIF('KAPASİTE TABLOSU'!$F:$F,'İL-İLÇE BAZINDA KAPASİTE'!$A204,'KAPASİTE TABLOSU'!#REF!)</f>
        <v>#REF!</v>
      </c>
      <c r="E204" s="14" t="e">
        <f>SUMIF('KAPASİTE TABLOSU'!$F:$F,'İL-İLÇE BAZINDA KAPASİTE'!$A204,'KAPASİTE TABLOSU'!#REF!)</f>
        <v>#REF!</v>
      </c>
      <c r="F204" s="12" t="str">
        <f t="shared" si="7"/>
        <v>İL</v>
      </c>
      <c r="G204" s="12" t="s">
        <v>16</v>
      </c>
      <c r="H204" s="3" t="s">
        <v>16</v>
      </c>
    </row>
    <row r="205" spans="1:8" x14ac:dyDescent="0.25">
      <c r="A205" s="13" t="s">
        <v>802</v>
      </c>
      <c r="B205" s="14">
        <f>COUNTIF('KAPASİTE TABLOSU'!F:F,'İL-İLÇE BAZINDA KAPASİTE'!A205)</f>
        <v>0</v>
      </c>
      <c r="C205" s="14" t="e">
        <f>SUMIF('KAPASİTE TABLOSU'!$F:$F,'İL-İLÇE BAZINDA KAPASİTE'!$A205,'KAPASİTE TABLOSU'!#REF!)</f>
        <v>#REF!</v>
      </c>
      <c r="D205" s="14" t="e">
        <f>SUMIF('KAPASİTE TABLOSU'!$F:$F,'İL-İLÇE BAZINDA KAPASİTE'!$A205,'KAPASİTE TABLOSU'!#REF!)</f>
        <v>#REF!</v>
      </c>
      <c r="E205" s="14" t="e">
        <f>SUMIF('KAPASİTE TABLOSU'!$F:$F,'İL-İLÇE BAZINDA KAPASİTE'!$A205,'KAPASİTE TABLOSU'!#REF!)</f>
        <v>#REF!</v>
      </c>
      <c r="F205" s="12" t="str">
        <f t="shared" si="7"/>
        <v>İL</v>
      </c>
      <c r="G205" s="12" t="s">
        <v>195</v>
      </c>
      <c r="H205" s="3" t="s">
        <v>195</v>
      </c>
    </row>
    <row r="206" spans="1:8" x14ac:dyDescent="0.25">
      <c r="A206" s="13" t="s">
        <v>803</v>
      </c>
      <c r="B206" s="14">
        <f>COUNTIF('KAPASİTE TABLOSU'!F:F,'İL-İLÇE BAZINDA KAPASİTE'!A206)</f>
        <v>0</v>
      </c>
      <c r="C206" s="14" t="e">
        <f>SUMIF('KAPASİTE TABLOSU'!$F:$F,'İL-İLÇE BAZINDA KAPASİTE'!$A206,'KAPASİTE TABLOSU'!#REF!)</f>
        <v>#REF!</v>
      </c>
      <c r="D206" s="14" t="e">
        <f>SUMIF('KAPASİTE TABLOSU'!$F:$F,'İL-İLÇE BAZINDA KAPASİTE'!$A206,'KAPASİTE TABLOSU'!#REF!)</f>
        <v>#REF!</v>
      </c>
      <c r="E206" s="14" t="e">
        <f>SUMIF('KAPASİTE TABLOSU'!$F:$F,'İL-İLÇE BAZINDA KAPASİTE'!$A206,'KAPASİTE TABLOSU'!#REF!)</f>
        <v>#REF!</v>
      </c>
      <c r="F206" s="12" t="str">
        <f t="shared" si="7"/>
        <v>İLÇE</v>
      </c>
      <c r="G206" s="12" t="s">
        <v>195</v>
      </c>
      <c r="H206" s="3" t="s">
        <v>197</v>
      </c>
    </row>
    <row r="207" spans="1:8" x14ac:dyDescent="0.25">
      <c r="A207" s="13" t="s">
        <v>804</v>
      </c>
      <c r="B207" s="14">
        <f>COUNTIF('KAPASİTE TABLOSU'!F:F,'İL-İLÇE BAZINDA KAPASİTE'!A207)</f>
        <v>0</v>
      </c>
      <c r="C207" s="14" t="e">
        <f>SUMIF('KAPASİTE TABLOSU'!$F:$F,'İL-İLÇE BAZINDA KAPASİTE'!$A207,'KAPASİTE TABLOSU'!#REF!)</f>
        <v>#REF!</v>
      </c>
      <c r="D207" s="14" t="e">
        <f>SUMIF('KAPASİTE TABLOSU'!$F:$F,'İL-İLÇE BAZINDA KAPASİTE'!$A207,'KAPASİTE TABLOSU'!#REF!)</f>
        <v>#REF!</v>
      </c>
      <c r="E207" s="14" t="e">
        <f>SUMIF('KAPASİTE TABLOSU'!$F:$F,'İL-İLÇE BAZINDA KAPASİTE'!$A207,'KAPASİTE TABLOSU'!#REF!)</f>
        <v>#REF!</v>
      </c>
      <c r="F207" s="12" t="str">
        <f t="shared" si="7"/>
        <v>İLÇE</v>
      </c>
      <c r="G207" s="12" t="s">
        <v>195</v>
      </c>
      <c r="H207" s="3" t="s">
        <v>196</v>
      </c>
    </row>
    <row r="208" spans="1:8" x14ac:dyDescent="0.25">
      <c r="A208" s="13" t="s">
        <v>805</v>
      </c>
      <c r="B208" s="14">
        <f>COUNTIF('KAPASİTE TABLOSU'!F:F,'İL-İLÇE BAZINDA KAPASİTE'!A208)</f>
        <v>0</v>
      </c>
      <c r="C208" s="14" t="e">
        <f>SUMIF('KAPASİTE TABLOSU'!$F:$F,'İL-İLÇE BAZINDA KAPASİTE'!$A208,'KAPASİTE TABLOSU'!#REF!)</f>
        <v>#REF!</v>
      </c>
      <c r="D208" s="14" t="e">
        <f>SUMIF('KAPASİTE TABLOSU'!$F:$F,'İL-İLÇE BAZINDA KAPASİTE'!$A208,'KAPASİTE TABLOSU'!#REF!)</f>
        <v>#REF!</v>
      </c>
      <c r="E208" s="14" t="e">
        <f>SUMIF('KAPASİTE TABLOSU'!$F:$F,'İL-İLÇE BAZINDA KAPASİTE'!$A208,'KAPASİTE TABLOSU'!#REF!)</f>
        <v>#REF!</v>
      </c>
      <c r="F208" s="12" t="str">
        <f t="shared" si="7"/>
        <v>İLÇE</v>
      </c>
      <c r="G208" s="12" t="s">
        <v>195</v>
      </c>
      <c r="H208" s="3" t="s">
        <v>198</v>
      </c>
    </row>
    <row r="209" spans="1:8" x14ac:dyDescent="0.25">
      <c r="A209" s="13" t="s">
        <v>806</v>
      </c>
      <c r="B209" s="14">
        <f>COUNTIF('KAPASİTE TABLOSU'!F:F,'İL-İLÇE BAZINDA KAPASİTE'!A209)</f>
        <v>0</v>
      </c>
      <c r="C209" s="14" t="e">
        <f>SUMIF('KAPASİTE TABLOSU'!$F:$F,'İL-İLÇE BAZINDA KAPASİTE'!$A209,'KAPASİTE TABLOSU'!#REF!)</f>
        <v>#REF!</v>
      </c>
      <c r="D209" s="14" t="e">
        <f>SUMIF('KAPASİTE TABLOSU'!$F:$F,'İL-İLÇE BAZINDA KAPASİTE'!$A209,'KAPASİTE TABLOSU'!#REF!)</f>
        <v>#REF!</v>
      </c>
      <c r="E209" s="14" t="e">
        <f>SUMIF('KAPASİTE TABLOSU'!$F:$F,'İL-İLÇE BAZINDA KAPASİTE'!$A209,'KAPASİTE TABLOSU'!#REF!)</f>
        <v>#REF!</v>
      </c>
      <c r="F209" s="12" t="str">
        <f t="shared" si="7"/>
        <v>İLÇE</v>
      </c>
      <c r="G209" s="12" t="s">
        <v>195</v>
      </c>
      <c r="H209" s="3" t="s">
        <v>199</v>
      </c>
    </row>
    <row r="210" spans="1:8" x14ac:dyDescent="0.25">
      <c r="A210" s="13" t="s">
        <v>807</v>
      </c>
      <c r="B210" s="14">
        <f>COUNTIF('KAPASİTE TABLOSU'!F:F,'İL-İLÇE BAZINDA KAPASİTE'!A210)</f>
        <v>0</v>
      </c>
      <c r="C210" s="14" t="e">
        <f>SUMIF('KAPASİTE TABLOSU'!$F:$F,'İL-İLÇE BAZINDA KAPASİTE'!$A210,'KAPASİTE TABLOSU'!#REF!)</f>
        <v>#REF!</v>
      </c>
      <c r="D210" s="14" t="e">
        <f>SUMIF('KAPASİTE TABLOSU'!$F:$F,'İL-İLÇE BAZINDA KAPASİTE'!$A210,'KAPASİTE TABLOSU'!#REF!)</f>
        <v>#REF!</v>
      </c>
      <c r="E210" s="14" t="e">
        <f>SUMIF('KAPASİTE TABLOSU'!$F:$F,'İL-İLÇE BAZINDA KAPASİTE'!$A210,'KAPASİTE TABLOSU'!#REF!)</f>
        <v>#REF!</v>
      </c>
      <c r="F210" s="12" t="str">
        <f t="shared" si="7"/>
        <v>İL</v>
      </c>
      <c r="G210" s="12" t="s">
        <v>45</v>
      </c>
      <c r="H210" s="3" t="s">
        <v>45</v>
      </c>
    </row>
    <row r="211" spans="1:8" x14ac:dyDescent="0.25">
      <c r="A211" s="13" t="s">
        <v>808</v>
      </c>
      <c r="B211" s="14">
        <f>COUNTIF('KAPASİTE TABLOSU'!F:F,'İL-İLÇE BAZINDA KAPASİTE'!A211)</f>
        <v>0</v>
      </c>
      <c r="C211" s="14" t="e">
        <f>SUMIF('KAPASİTE TABLOSU'!$F:$F,'İL-İLÇE BAZINDA KAPASİTE'!$A211,'KAPASİTE TABLOSU'!#REF!)</f>
        <v>#REF!</v>
      </c>
      <c r="D211" s="14" t="e">
        <f>SUMIF('KAPASİTE TABLOSU'!$F:$F,'İL-İLÇE BAZINDA KAPASİTE'!$A211,'KAPASİTE TABLOSU'!#REF!)</f>
        <v>#REF!</v>
      </c>
      <c r="E211" s="14" t="e">
        <f>SUMIF('KAPASİTE TABLOSU'!$F:$F,'İL-İLÇE BAZINDA KAPASİTE'!$A211,'KAPASİTE TABLOSU'!#REF!)</f>
        <v>#REF!</v>
      </c>
      <c r="F211" s="12" t="str">
        <f t="shared" si="7"/>
        <v>İLÇE</v>
      </c>
      <c r="G211" s="12" t="s">
        <v>45</v>
      </c>
      <c r="H211" s="3" t="s">
        <v>46</v>
      </c>
    </row>
    <row r="212" spans="1:8" x14ac:dyDescent="0.25">
      <c r="A212" s="13" t="s">
        <v>809</v>
      </c>
      <c r="B212" s="14">
        <f>COUNTIF('KAPASİTE TABLOSU'!F:F,'İL-İLÇE BAZINDA KAPASİTE'!A212)</f>
        <v>0</v>
      </c>
      <c r="C212" s="14" t="e">
        <f>SUMIF('KAPASİTE TABLOSU'!$F:$F,'İL-İLÇE BAZINDA KAPASİTE'!$A212,'KAPASİTE TABLOSU'!#REF!)</f>
        <v>#REF!</v>
      </c>
      <c r="D212" s="14" t="e">
        <f>SUMIF('KAPASİTE TABLOSU'!$F:$F,'İL-İLÇE BAZINDA KAPASİTE'!$A212,'KAPASİTE TABLOSU'!#REF!)</f>
        <v>#REF!</v>
      </c>
      <c r="E212" s="14" t="e">
        <f>SUMIF('KAPASİTE TABLOSU'!$F:$F,'İL-İLÇE BAZINDA KAPASİTE'!$A212,'KAPASİTE TABLOSU'!#REF!)</f>
        <v>#REF!</v>
      </c>
      <c r="F212" s="12" t="str">
        <f t="shared" si="7"/>
        <v>İL</v>
      </c>
      <c r="G212" s="12" t="s">
        <v>165</v>
      </c>
      <c r="H212" s="3" t="s">
        <v>165</v>
      </c>
    </row>
    <row r="213" spans="1:8" x14ac:dyDescent="0.25">
      <c r="A213" s="13" t="s">
        <v>810</v>
      </c>
      <c r="B213" s="14">
        <f>COUNTIF('KAPASİTE TABLOSU'!F:F,'İL-İLÇE BAZINDA KAPASİTE'!A213)</f>
        <v>0</v>
      </c>
      <c r="C213" s="14" t="e">
        <f>SUMIF('KAPASİTE TABLOSU'!$F:$F,'İL-İLÇE BAZINDA KAPASİTE'!$A213,'KAPASİTE TABLOSU'!#REF!)</f>
        <v>#REF!</v>
      </c>
      <c r="D213" s="14" t="e">
        <f>SUMIF('KAPASİTE TABLOSU'!$F:$F,'İL-İLÇE BAZINDA KAPASİTE'!$A213,'KAPASİTE TABLOSU'!#REF!)</f>
        <v>#REF!</v>
      </c>
      <c r="E213" s="14" t="e">
        <f>SUMIF('KAPASİTE TABLOSU'!$F:$F,'İL-İLÇE BAZINDA KAPASİTE'!$A213,'KAPASİTE TABLOSU'!#REF!)</f>
        <v>#REF!</v>
      </c>
      <c r="F213" s="12" t="str">
        <f t="shared" si="7"/>
        <v>İLÇE</v>
      </c>
      <c r="G213" s="12" t="s">
        <v>165</v>
      </c>
      <c r="H213" s="3" t="s">
        <v>166</v>
      </c>
    </row>
    <row r="214" spans="1:8" x14ac:dyDescent="0.25">
      <c r="A214" s="13" t="s">
        <v>811</v>
      </c>
      <c r="B214" s="14">
        <f>COUNTIF('KAPASİTE TABLOSU'!F:F,'İL-İLÇE BAZINDA KAPASİTE'!A214)</f>
        <v>0</v>
      </c>
      <c r="C214" s="14" t="e">
        <f>SUMIF('KAPASİTE TABLOSU'!$F:$F,'İL-İLÇE BAZINDA KAPASİTE'!$A214,'KAPASİTE TABLOSU'!#REF!)</f>
        <v>#REF!</v>
      </c>
      <c r="D214" s="14" t="e">
        <f>SUMIF('KAPASİTE TABLOSU'!$F:$F,'İL-İLÇE BAZINDA KAPASİTE'!$A214,'KAPASİTE TABLOSU'!#REF!)</f>
        <v>#REF!</v>
      </c>
      <c r="E214" s="14" t="e">
        <f>SUMIF('KAPASİTE TABLOSU'!$F:$F,'İL-İLÇE BAZINDA KAPASİTE'!$A214,'KAPASİTE TABLOSU'!#REF!)</f>
        <v>#REF!</v>
      </c>
      <c r="F214" s="12" t="str">
        <f t="shared" si="7"/>
        <v>İLÇE</v>
      </c>
      <c r="G214" s="12" t="s">
        <v>165</v>
      </c>
      <c r="H214" s="3" t="s">
        <v>167</v>
      </c>
    </row>
    <row r="215" spans="1:8" x14ac:dyDescent="0.25">
      <c r="A215" s="13" t="s">
        <v>812</v>
      </c>
      <c r="B215" s="14">
        <f>COUNTIF('KAPASİTE TABLOSU'!F:F,'İL-İLÇE BAZINDA KAPASİTE'!A215)</f>
        <v>0</v>
      </c>
      <c r="C215" s="14" t="e">
        <f>SUMIF('KAPASİTE TABLOSU'!$F:$F,'İL-İLÇE BAZINDA KAPASİTE'!$A215,'KAPASİTE TABLOSU'!#REF!)</f>
        <v>#REF!</v>
      </c>
      <c r="D215" s="14" t="e">
        <f>SUMIF('KAPASİTE TABLOSU'!$F:$F,'İL-İLÇE BAZINDA KAPASİTE'!$A215,'KAPASİTE TABLOSU'!#REF!)</f>
        <v>#REF!</v>
      </c>
      <c r="E215" s="14" t="e">
        <f>SUMIF('KAPASİTE TABLOSU'!$F:$F,'İL-İLÇE BAZINDA KAPASİTE'!$A215,'KAPASİTE TABLOSU'!#REF!)</f>
        <v>#REF!</v>
      </c>
      <c r="F215" s="12" t="str">
        <f t="shared" si="7"/>
        <v>İLÇE</v>
      </c>
      <c r="G215" s="12" t="s">
        <v>165</v>
      </c>
      <c r="H215" s="3" t="s">
        <v>541</v>
      </c>
    </row>
    <row r="216" spans="1:8" x14ac:dyDescent="0.25">
      <c r="A216" s="13" t="s">
        <v>813</v>
      </c>
      <c r="B216" s="14">
        <f>COUNTIF('KAPASİTE TABLOSU'!F:F,'İL-İLÇE BAZINDA KAPASİTE'!A216)</f>
        <v>0</v>
      </c>
      <c r="C216" s="14" t="e">
        <f>SUMIF('KAPASİTE TABLOSU'!$F:$F,'İL-İLÇE BAZINDA KAPASİTE'!$A216,'KAPASİTE TABLOSU'!#REF!)</f>
        <v>#REF!</v>
      </c>
      <c r="D216" s="14" t="e">
        <f>SUMIF('KAPASİTE TABLOSU'!$F:$F,'İL-İLÇE BAZINDA KAPASİTE'!$A216,'KAPASİTE TABLOSU'!#REF!)</f>
        <v>#REF!</v>
      </c>
      <c r="E216" s="14" t="e">
        <f>SUMIF('KAPASİTE TABLOSU'!$F:$F,'İL-İLÇE BAZINDA KAPASİTE'!$A216,'KAPASİTE TABLOSU'!#REF!)</f>
        <v>#REF!</v>
      </c>
      <c r="F216" s="12" t="str">
        <f t="shared" si="7"/>
        <v>İLÇE</v>
      </c>
      <c r="G216" s="12" t="s">
        <v>165</v>
      </c>
      <c r="H216" s="3" t="s">
        <v>550</v>
      </c>
    </row>
    <row r="217" spans="1:8" x14ac:dyDescent="0.25">
      <c r="A217" s="13" t="s">
        <v>814</v>
      </c>
      <c r="B217" s="14">
        <f>COUNTIF('KAPASİTE TABLOSU'!F:F,'İL-İLÇE BAZINDA KAPASİTE'!A217)</f>
        <v>0</v>
      </c>
      <c r="C217" s="14" t="e">
        <f>SUMIF('KAPASİTE TABLOSU'!$F:$F,'İL-İLÇE BAZINDA KAPASİTE'!$A217,'KAPASİTE TABLOSU'!#REF!)</f>
        <v>#REF!</v>
      </c>
      <c r="D217" s="14" t="e">
        <f>SUMIF('KAPASİTE TABLOSU'!$F:$F,'İL-İLÇE BAZINDA KAPASİTE'!$A217,'KAPASİTE TABLOSU'!#REF!)</f>
        <v>#REF!</v>
      </c>
      <c r="E217" s="14" t="e">
        <f>SUMIF('KAPASİTE TABLOSU'!$F:$F,'İL-İLÇE BAZINDA KAPASİTE'!$A217,'KAPASİTE TABLOSU'!#REF!)</f>
        <v>#REF!</v>
      </c>
      <c r="F217" s="12" t="str">
        <f t="shared" si="7"/>
        <v>İLÇE</v>
      </c>
      <c r="G217" s="12" t="s">
        <v>165</v>
      </c>
      <c r="H217" s="3" t="s">
        <v>168</v>
      </c>
    </row>
    <row r="218" spans="1:8" x14ac:dyDescent="0.25">
      <c r="A218" s="13" t="s">
        <v>815</v>
      </c>
      <c r="B218" s="14">
        <f>COUNTIF('KAPASİTE TABLOSU'!F:F,'İL-İLÇE BAZINDA KAPASİTE'!A218)</f>
        <v>0</v>
      </c>
      <c r="C218" s="14" t="e">
        <f>SUMIF('KAPASİTE TABLOSU'!$F:$F,'İL-İLÇE BAZINDA KAPASİTE'!$A218,'KAPASİTE TABLOSU'!#REF!)</f>
        <v>#REF!</v>
      </c>
      <c r="D218" s="14" t="e">
        <f>SUMIF('KAPASİTE TABLOSU'!$F:$F,'İL-İLÇE BAZINDA KAPASİTE'!$A218,'KAPASİTE TABLOSU'!#REF!)</f>
        <v>#REF!</v>
      </c>
      <c r="E218" s="14" t="e">
        <f>SUMIF('KAPASİTE TABLOSU'!$F:$F,'İL-İLÇE BAZINDA KAPASİTE'!$A218,'KAPASİTE TABLOSU'!#REF!)</f>
        <v>#REF!</v>
      </c>
      <c r="F218" s="12" t="str">
        <f t="shared" si="7"/>
        <v>İLÇE</v>
      </c>
      <c r="G218" s="12" t="s">
        <v>165</v>
      </c>
      <c r="H218" s="3" t="s">
        <v>539</v>
      </c>
    </row>
    <row r="219" spans="1:8" x14ac:dyDescent="0.25">
      <c r="A219" s="13" t="s">
        <v>816</v>
      </c>
      <c r="B219" s="14">
        <f>COUNTIF('KAPASİTE TABLOSU'!F:F,'İL-İLÇE BAZINDA KAPASİTE'!A219)</f>
        <v>0</v>
      </c>
      <c r="C219" s="14" t="e">
        <f>SUMIF('KAPASİTE TABLOSU'!$F:$F,'İL-İLÇE BAZINDA KAPASİTE'!$A219,'KAPASİTE TABLOSU'!#REF!)</f>
        <v>#REF!</v>
      </c>
      <c r="D219" s="14" t="e">
        <f>SUMIF('KAPASİTE TABLOSU'!$F:$F,'İL-İLÇE BAZINDA KAPASİTE'!$A219,'KAPASİTE TABLOSU'!#REF!)</f>
        <v>#REF!</v>
      </c>
      <c r="E219" s="14" t="e">
        <f>SUMIF('KAPASİTE TABLOSU'!$F:$F,'İL-İLÇE BAZINDA KAPASİTE'!$A219,'KAPASİTE TABLOSU'!#REF!)</f>
        <v>#REF!</v>
      </c>
      <c r="F219" s="12" t="str">
        <f t="shared" si="7"/>
        <v>İL</v>
      </c>
      <c r="G219" s="12" t="s">
        <v>75</v>
      </c>
      <c r="H219" s="3" t="s">
        <v>75</v>
      </c>
    </row>
    <row r="220" spans="1:8" x14ac:dyDescent="0.25">
      <c r="A220" s="13" t="s">
        <v>817</v>
      </c>
      <c r="B220" s="14">
        <f>COUNTIF('KAPASİTE TABLOSU'!F:F,'İL-İLÇE BAZINDA KAPASİTE'!A220)</f>
        <v>0</v>
      </c>
      <c r="C220" s="14" t="e">
        <f>SUMIF('KAPASİTE TABLOSU'!$F:$F,'İL-İLÇE BAZINDA KAPASİTE'!$A220,'KAPASİTE TABLOSU'!#REF!)</f>
        <v>#REF!</v>
      </c>
      <c r="D220" s="14" t="e">
        <f>SUMIF('KAPASİTE TABLOSU'!$F:$F,'İL-İLÇE BAZINDA KAPASİTE'!$A220,'KAPASİTE TABLOSU'!#REF!)</f>
        <v>#REF!</v>
      </c>
      <c r="E220" s="14" t="e">
        <f>SUMIF('KAPASİTE TABLOSU'!$F:$F,'İL-İLÇE BAZINDA KAPASİTE'!$A220,'KAPASİTE TABLOSU'!#REF!)</f>
        <v>#REF!</v>
      </c>
      <c r="F220" s="12" t="str">
        <f t="shared" si="7"/>
        <v>İL</v>
      </c>
      <c r="G220" s="12" t="s">
        <v>172</v>
      </c>
      <c r="H220" s="3" t="s">
        <v>172</v>
      </c>
    </row>
    <row r="221" spans="1:8" x14ac:dyDescent="0.25">
      <c r="A221" s="13" t="s">
        <v>818</v>
      </c>
      <c r="B221" s="14">
        <f>COUNTIF('KAPASİTE TABLOSU'!F:F,'İL-İLÇE BAZINDA KAPASİTE'!A221)</f>
        <v>0</v>
      </c>
      <c r="C221" s="14" t="e">
        <f>SUMIF('KAPASİTE TABLOSU'!$F:$F,'İL-İLÇE BAZINDA KAPASİTE'!$A221,'KAPASİTE TABLOSU'!#REF!)</f>
        <v>#REF!</v>
      </c>
      <c r="D221" s="14" t="e">
        <f>SUMIF('KAPASİTE TABLOSU'!$F:$F,'İL-İLÇE BAZINDA KAPASİTE'!$A221,'KAPASİTE TABLOSU'!#REF!)</f>
        <v>#REF!</v>
      </c>
      <c r="E221" s="14" t="e">
        <f>SUMIF('KAPASİTE TABLOSU'!$F:$F,'İL-İLÇE BAZINDA KAPASİTE'!$A221,'KAPASİTE TABLOSU'!#REF!)</f>
        <v>#REF!</v>
      </c>
      <c r="F221" s="12" t="str">
        <f t="shared" si="7"/>
        <v>İLÇE</v>
      </c>
      <c r="G221" s="12" t="s">
        <v>172</v>
      </c>
      <c r="H221" s="3" t="s">
        <v>173</v>
      </c>
    </row>
    <row r="222" spans="1:8" x14ac:dyDescent="0.25">
      <c r="A222" s="13" t="s">
        <v>819</v>
      </c>
      <c r="B222" s="14">
        <f>COUNTIF('KAPASİTE TABLOSU'!F:F,'İL-İLÇE BAZINDA KAPASİTE'!A222)</f>
        <v>0</v>
      </c>
      <c r="C222" s="14" t="e">
        <f>SUMIF('KAPASİTE TABLOSU'!$F:$F,'İL-İLÇE BAZINDA KAPASİTE'!$A222,'KAPASİTE TABLOSU'!#REF!)</f>
        <v>#REF!</v>
      </c>
      <c r="D222" s="14" t="e">
        <f>SUMIF('KAPASİTE TABLOSU'!$F:$F,'İL-İLÇE BAZINDA KAPASİTE'!$A222,'KAPASİTE TABLOSU'!#REF!)</f>
        <v>#REF!</v>
      </c>
      <c r="E222" s="14" t="e">
        <f>SUMIF('KAPASİTE TABLOSU'!$F:$F,'İL-İLÇE BAZINDA KAPASİTE'!$A222,'KAPASİTE TABLOSU'!#REF!)</f>
        <v>#REF!</v>
      </c>
      <c r="F222" s="12" t="str">
        <f t="shared" si="7"/>
        <v>İL</v>
      </c>
      <c r="G222" s="12" t="s">
        <v>139</v>
      </c>
      <c r="H222" s="3" t="s">
        <v>139</v>
      </c>
    </row>
    <row r="223" spans="1:8" x14ac:dyDescent="0.25">
      <c r="A223" s="13" t="s">
        <v>862</v>
      </c>
      <c r="B223" s="14">
        <f>COUNTIF('KAPASİTE TABLOSU'!F:F,'İL-İLÇE BAZINDA KAPASİTE'!A223)</f>
        <v>0</v>
      </c>
      <c r="C223" s="14" t="e">
        <f>SUMIF('KAPASİTE TABLOSU'!$F:$F,'İL-İLÇE BAZINDA KAPASİTE'!$A223,'KAPASİTE TABLOSU'!#REF!)</f>
        <v>#REF!</v>
      </c>
      <c r="D223" s="14" t="e">
        <f>SUMIF('KAPASİTE TABLOSU'!$F:$F,'İL-İLÇE BAZINDA KAPASİTE'!$A223,'KAPASİTE TABLOSU'!#REF!)</f>
        <v>#REF!</v>
      </c>
      <c r="E223" s="14" t="e">
        <f>SUMIF('KAPASİTE TABLOSU'!$F:$F,'İL-İLÇE BAZINDA KAPASİTE'!$A223,'KAPASİTE TABLOSU'!#REF!)</f>
        <v>#REF!</v>
      </c>
      <c r="F223" s="12" t="str">
        <f t="shared" si="7"/>
        <v>İLÇE</v>
      </c>
      <c r="G223" s="12" t="s">
        <v>139</v>
      </c>
      <c r="H223" s="3" t="s">
        <v>861</v>
      </c>
    </row>
    <row r="224" spans="1:8" x14ac:dyDescent="0.25">
      <c r="A224" s="13" t="s">
        <v>820</v>
      </c>
      <c r="B224" s="14">
        <f>COUNTIF('KAPASİTE TABLOSU'!F:F,'İL-İLÇE BAZINDA KAPASİTE'!A224)</f>
        <v>0</v>
      </c>
      <c r="C224" s="14" t="e">
        <f>SUMIF('KAPASİTE TABLOSU'!$F:$F,'İL-İLÇE BAZINDA KAPASİTE'!$A224,'KAPASİTE TABLOSU'!#REF!)</f>
        <v>#REF!</v>
      </c>
      <c r="D224" s="14" t="e">
        <f>SUMIF('KAPASİTE TABLOSU'!$F:$F,'İL-İLÇE BAZINDA KAPASİTE'!$A224,'KAPASİTE TABLOSU'!#REF!)</f>
        <v>#REF!</v>
      </c>
      <c r="E224" s="14" t="e">
        <f>SUMIF('KAPASİTE TABLOSU'!$F:$F,'İL-İLÇE BAZINDA KAPASİTE'!$A224,'KAPASİTE TABLOSU'!#REF!)</f>
        <v>#REF!</v>
      </c>
      <c r="F224" s="12" t="str">
        <f t="shared" si="7"/>
        <v>İLÇE</v>
      </c>
      <c r="G224" s="12" t="s">
        <v>139</v>
      </c>
      <c r="H224" s="3" t="s">
        <v>140</v>
      </c>
    </row>
    <row r="225" spans="1:8" x14ac:dyDescent="0.25">
      <c r="A225" s="13" t="s">
        <v>821</v>
      </c>
      <c r="B225" s="14">
        <f>COUNTIF('KAPASİTE TABLOSU'!F:F,'İL-İLÇE BAZINDA KAPASİTE'!A225)</f>
        <v>0</v>
      </c>
      <c r="C225" s="14" t="e">
        <f>SUMIF('KAPASİTE TABLOSU'!$F:$F,'İL-İLÇE BAZINDA KAPASİTE'!$A225,'KAPASİTE TABLOSU'!#REF!)</f>
        <v>#REF!</v>
      </c>
      <c r="D225" s="14" t="e">
        <f>SUMIF('KAPASİTE TABLOSU'!$F:$F,'İL-İLÇE BAZINDA KAPASİTE'!$A225,'KAPASİTE TABLOSU'!#REF!)</f>
        <v>#REF!</v>
      </c>
      <c r="E225" s="14" t="e">
        <f>SUMIF('KAPASİTE TABLOSU'!$F:$F,'İL-İLÇE BAZINDA KAPASİTE'!$A225,'KAPASİTE TABLOSU'!#REF!)</f>
        <v>#REF!</v>
      </c>
      <c r="F225" s="12" t="str">
        <f t="shared" si="7"/>
        <v>İLÇE</v>
      </c>
      <c r="G225" s="12" t="s">
        <v>139</v>
      </c>
      <c r="H225" s="3" t="s">
        <v>141</v>
      </c>
    </row>
    <row r="226" spans="1:8" x14ac:dyDescent="0.25">
      <c r="A226" s="13" t="s">
        <v>822</v>
      </c>
      <c r="B226" s="14">
        <f>COUNTIF('KAPASİTE TABLOSU'!F:F,'İL-İLÇE BAZINDA KAPASİTE'!A226)</f>
        <v>0</v>
      </c>
      <c r="C226" s="14" t="e">
        <f>SUMIF('KAPASİTE TABLOSU'!$F:$F,'İL-İLÇE BAZINDA KAPASİTE'!$A226,'KAPASİTE TABLOSU'!#REF!)</f>
        <v>#REF!</v>
      </c>
      <c r="D226" s="14" t="e">
        <f>SUMIF('KAPASİTE TABLOSU'!$F:$F,'İL-İLÇE BAZINDA KAPASİTE'!$A226,'KAPASİTE TABLOSU'!#REF!)</f>
        <v>#REF!</v>
      </c>
      <c r="E226" s="14" t="e">
        <f>SUMIF('KAPASİTE TABLOSU'!$F:$F,'İL-İLÇE BAZINDA KAPASİTE'!$A226,'KAPASİTE TABLOSU'!#REF!)</f>
        <v>#REF!</v>
      </c>
      <c r="F226" s="12" t="str">
        <f t="shared" si="7"/>
        <v>İLÇE</v>
      </c>
      <c r="G226" s="12" t="s">
        <v>139</v>
      </c>
      <c r="H226" s="3" t="s">
        <v>142</v>
      </c>
    </row>
    <row r="227" spans="1:8" x14ac:dyDescent="0.25">
      <c r="A227" s="13" t="s">
        <v>823</v>
      </c>
      <c r="B227" s="14">
        <f>COUNTIF('KAPASİTE TABLOSU'!F:F,'İL-İLÇE BAZINDA KAPASİTE'!A227)</f>
        <v>0</v>
      </c>
      <c r="C227" s="14" t="e">
        <f>SUMIF('KAPASİTE TABLOSU'!$F:$F,'İL-İLÇE BAZINDA KAPASİTE'!$A227,'KAPASİTE TABLOSU'!#REF!)</f>
        <v>#REF!</v>
      </c>
      <c r="D227" s="14" t="e">
        <f>SUMIF('KAPASİTE TABLOSU'!$F:$F,'İL-İLÇE BAZINDA KAPASİTE'!$A227,'KAPASİTE TABLOSU'!#REF!)</f>
        <v>#REF!</v>
      </c>
      <c r="E227" s="14" t="e">
        <f>SUMIF('KAPASİTE TABLOSU'!$F:$F,'İL-İLÇE BAZINDA KAPASİTE'!$A227,'KAPASİTE TABLOSU'!#REF!)</f>
        <v>#REF!</v>
      </c>
      <c r="F227" s="12" t="str">
        <f t="shared" si="7"/>
        <v>İLÇE</v>
      </c>
      <c r="G227" s="12" t="s">
        <v>139</v>
      </c>
      <c r="H227" s="3" t="s">
        <v>143</v>
      </c>
    </row>
    <row r="228" spans="1:8" x14ac:dyDescent="0.25">
      <c r="A228" s="13" t="s">
        <v>824</v>
      </c>
      <c r="B228" s="14">
        <f>COUNTIF('KAPASİTE TABLOSU'!F:F,'İL-İLÇE BAZINDA KAPASİTE'!A228)</f>
        <v>0</v>
      </c>
      <c r="C228" s="14" t="e">
        <f>SUMIF('KAPASİTE TABLOSU'!$F:$F,'İL-İLÇE BAZINDA KAPASİTE'!$A228,'KAPASİTE TABLOSU'!#REF!)</f>
        <v>#REF!</v>
      </c>
      <c r="D228" s="14" t="e">
        <f>SUMIF('KAPASİTE TABLOSU'!$F:$F,'İL-İLÇE BAZINDA KAPASİTE'!$A228,'KAPASİTE TABLOSU'!#REF!)</f>
        <v>#REF!</v>
      </c>
      <c r="E228" s="14" t="e">
        <f>SUMIF('KAPASİTE TABLOSU'!$F:$F,'İL-İLÇE BAZINDA KAPASİTE'!$A228,'KAPASİTE TABLOSU'!#REF!)</f>
        <v>#REF!</v>
      </c>
      <c r="F228" s="12" t="str">
        <f t="shared" si="7"/>
        <v>İL</v>
      </c>
      <c r="G228" s="12" t="s">
        <v>118</v>
      </c>
      <c r="H228" s="3" t="s">
        <v>118</v>
      </c>
    </row>
    <row r="229" spans="1:8" x14ac:dyDescent="0.25">
      <c r="A229" s="13" t="s">
        <v>825</v>
      </c>
      <c r="B229" s="14">
        <f>COUNTIF('KAPASİTE TABLOSU'!F:F,'İL-İLÇE BAZINDA KAPASİTE'!A229)</f>
        <v>0</v>
      </c>
      <c r="C229" s="14" t="e">
        <f>SUMIF('KAPASİTE TABLOSU'!$F:$F,'İL-İLÇE BAZINDA KAPASİTE'!$A229,'KAPASİTE TABLOSU'!#REF!)</f>
        <v>#REF!</v>
      </c>
      <c r="D229" s="14" t="e">
        <f>SUMIF('KAPASİTE TABLOSU'!$F:$F,'İL-İLÇE BAZINDA KAPASİTE'!$A229,'KAPASİTE TABLOSU'!#REF!)</f>
        <v>#REF!</v>
      </c>
      <c r="E229" s="14" t="e">
        <f>SUMIF('KAPASİTE TABLOSU'!$F:$F,'İL-İLÇE BAZINDA KAPASİTE'!$A229,'KAPASİTE TABLOSU'!#REF!)</f>
        <v>#REF!</v>
      </c>
      <c r="F229" s="12" t="str">
        <f t="shared" si="7"/>
        <v>İL</v>
      </c>
      <c r="G229" s="12" t="s">
        <v>211</v>
      </c>
      <c r="H229" s="3" t="s">
        <v>211</v>
      </c>
    </row>
    <row r="230" spans="1:8" x14ac:dyDescent="0.25">
      <c r="A230" s="13" t="s">
        <v>826</v>
      </c>
      <c r="B230" s="14">
        <f>COUNTIF('KAPASİTE TABLOSU'!F:F,'İL-İLÇE BAZINDA KAPASİTE'!A230)</f>
        <v>0</v>
      </c>
      <c r="C230" s="14" t="e">
        <f>SUMIF('KAPASİTE TABLOSU'!$F:$F,'İL-İLÇE BAZINDA KAPASİTE'!$A230,'KAPASİTE TABLOSU'!#REF!)</f>
        <v>#REF!</v>
      </c>
      <c r="D230" s="14" t="e">
        <f>SUMIF('KAPASİTE TABLOSU'!$F:$F,'İL-İLÇE BAZINDA KAPASİTE'!$A230,'KAPASİTE TABLOSU'!#REF!)</f>
        <v>#REF!</v>
      </c>
      <c r="E230" s="14" t="e">
        <f>SUMIF('KAPASİTE TABLOSU'!$F:$F,'İL-İLÇE BAZINDA KAPASİTE'!$A230,'KAPASİTE TABLOSU'!#REF!)</f>
        <v>#REF!</v>
      </c>
      <c r="F230" s="12" t="str">
        <f t="shared" si="7"/>
        <v>İL</v>
      </c>
      <c r="G230" s="12" t="s">
        <v>82</v>
      </c>
      <c r="H230" s="3" t="s">
        <v>82</v>
      </c>
    </row>
    <row r="231" spans="1:8" x14ac:dyDescent="0.25">
      <c r="A231" s="13" t="s">
        <v>932</v>
      </c>
      <c r="B231" s="14">
        <f>COUNTIF('KAPASİTE TABLOSU'!F:F,'İL-İLÇE BAZINDA KAPASİTE'!A231)</f>
        <v>0</v>
      </c>
      <c r="C231" s="14" t="e">
        <f>SUMIF('KAPASİTE TABLOSU'!$F:$F,'İL-İLÇE BAZINDA KAPASİTE'!$A231,'KAPASİTE TABLOSU'!#REF!)</f>
        <v>#REF!</v>
      </c>
      <c r="D231" s="14" t="e">
        <f>SUMIF('KAPASİTE TABLOSU'!$F:$F,'İL-İLÇE BAZINDA KAPASİTE'!$A231,'KAPASİTE TABLOSU'!#REF!)</f>
        <v>#REF!</v>
      </c>
      <c r="E231" s="14" t="e">
        <f>SUMIF('KAPASİTE TABLOSU'!$F:$F,'İL-İLÇE BAZINDA KAPASİTE'!$A231,'KAPASİTE TABLOSU'!#REF!)</f>
        <v>#REF!</v>
      </c>
      <c r="F231" s="12" t="str">
        <f t="shared" si="7"/>
        <v>İLÇE</v>
      </c>
      <c r="G231" s="12" t="s">
        <v>82</v>
      </c>
      <c r="H231" s="3" t="s">
        <v>931</v>
      </c>
    </row>
    <row r="232" spans="1:8" x14ac:dyDescent="0.25">
      <c r="A232" s="13" t="s">
        <v>827</v>
      </c>
      <c r="B232" s="14">
        <f>COUNTIF('KAPASİTE TABLOSU'!F:F,'İL-İLÇE BAZINDA KAPASİTE'!A232)</f>
        <v>0</v>
      </c>
      <c r="C232" s="14" t="e">
        <f>SUMIF('KAPASİTE TABLOSU'!$F:$F,'İL-İLÇE BAZINDA KAPASİTE'!$A232,'KAPASİTE TABLOSU'!#REF!)</f>
        <v>#REF!</v>
      </c>
      <c r="D232" s="14" t="e">
        <f>SUMIF('KAPASİTE TABLOSU'!$F:$F,'İL-İLÇE BAZINDA KAPASİTE'!$A232,'KAPASİTE TABLOSU'!#REF!)</f>
        <v>#REF!</v>
      </c>
      <c r="E232" s="14" t="e">
        <f>SUMIF('KAPASİTE TABLOSU'!$F:$F,'İL-İLÇE BAZINDA KAPASİTE'!$A232,'KAPASİTE TABLOSU'!#REF!)</f>
        <v>#REF!</v>
      </c>
      <c r="F232" s="12" t="str">
        <f t="shared" si="7"/>
        <v>İLÇE</v>
      </c>
      <c r="G232" s="12" t="s">
        <v>82</v>
      </c>
      <c r="H232" s="3" t="s">
        <v>83</v>
      </c>
    </row>
    <row r="233" spans="1:8" x14ac:dyDescent="0.25">
      <c r="A233" s="13" t="s">
        <v>828</v>
      </c>
      <c r="B233" s="14">
        <f>COUNTIF('KAPASİTE TABLOSU'!F:F,'İL-İLÇE BAZINDA KAPASİTE'!A233)</f>
        <v>0</v>
      </c>
      <c r="C233" s="14" t="e">
        <f>SUMIF('KAPASİTE TABLOSU'!$F:$F,'İL-İLÇE BAZINDA KAPASİTE'!$A233,'KAPASİTE TABLOSU'!#REF!)</f>
        <v>#REF!</v>
      </c>
      <c r="D233" s="14" t="e">
        <f>SUMIF('KAPASİTE TABLOSU'!$F:$F,'İL-İLÇE BAZINDA KAPASİTE'!$A233,'KAPASİTE TABLOSU'!#REF!)</f>
        <v>#REF!</v>
      </c>
      <c r="E233" s="14" t="e">
        <f>SUMIF('KAPASİTE TABLOSU'!$F:$F,'İL-İLÇE BAZINDA KAPASİTE'!$A233,'KAPASİTE TABLOSU'!#REF!)</f>
        <v>#REF!</v>
      </c>
      <c r="F233" s="12" t="str">
        <f t="shared" si="7"/>
        <v>İLÇE</v>
      </c>
      <c r="G233" s="12" t="s">
        <v>82</v>
      </c>
      <c r="H233" s="3" t="s">
        <v>84</v>
      </c>
    </row>
    <row r="234" spans="1:8" x14ac:dyDescent="0.25">
      <c r="A234" s="13" t="s">
        <v>829</v>
      </c>
      <c r="B234" s="14">
        <f>COUNTIF('KAPASİTE TABLOSU'!F:F,'İL-İLÇE BAZINDA KAPASİTE'!A234)</f>
        <v>0</v>
      </c>
      <c r="C234" s="14" t="e">
        <f>SUMIF('KAPASİTE TABLOSU'!$F:$F,'İL-İLÇE BAZINDA KAPASİTE'!$A234,'KAPASİTE TABLOSU'!#REF!)</f>
        <v>#REF!</v>
      </c>
      <c r="D234" s="14" t="e">
        <f>SUMIF('KAPASİTE TABLOSU'!$F:$F,'İL-İLÇE BAZINDA KAPASİTE'!$A234,'KAPASİTE TABLOSU'!#REF!)</f>
        <v>#REF!</v>
      </c>
      <c r="E234" s="14" t="e">
        <f>SUMIF('KAPASİTE TABLOSU'!$F:$F,'İL-İLÇE BAZINDA KAPASİTE'!$A234,'KAPASİTE TABLOSU'!#REF!)</f>
        <v>#REF!</v>
      </c>
      <c r="F234" s="12" t="str">
        <f t="shared" si="7"/>
        <v>İLÇE</v>
      </c>
      <c r="G234" s="12" t="s">
        <v>82</v>
      </c>
      <c r="H234" s="3" t="s">
        <v>85</v>
      </c>
    </row>
    <row r="235" spans="1:8" x14ac:dyDescent="0.25">
      <c r="A235" s="13" t="s">
        <v>830</v>
      </c>
      <c r="B235" s="14">
        <f>COUNTIF('KAPASİTE TABLOSU'!F:F,'İL-İLÇE BAZINDA KAPASİTE'!A235)</f>
        <v>0</v>
      </c>
      <c r="C235" s="14" t="e">
        <f>SUMIF('KAPASİTE TABLOSU'!$F:$F,'İL-İLÇE BAZINDA KAPASİTE'!$A235,'KAPASİTE TABLOSU'!#REF!)</f>
        <v>#REF!</v>
      </c>
      <c r="D235" s="14" t="e">
        <f>SUMIF('KAPASİTE TABLOSU'!$F:$F,'İL-İLÇE BAZINDA KAPASİTE'!$A235,'KAPASİTE TABLOSU'!#REF!)</f>
        <v>#REF!</v>
      </c>
      <c r="E235" s="14" t="e">
        <f>SUMIF('KAPASİTE TABLOSU'!$F:$F,'İL-İLÇE BAZINDA KAPASİTE'!$A235,'KAPASİTE TABLOSU'!#REF!)</f>
        <v>#REF!</v>
      </c>
      <c r="F235" s="12" t="str">
        <f t="shared" si="7"/>
        <v>İLÇE</v>
      </c>
      <c r="G235" s="12" t="s">
        <v>82</v>
      </c>
      <c r="H235" s="3" t="s">
        <v>86</v>
      </c>
    </row>
    <row r="236" spans="1:8" x14ac:dyDescent="0.25">
      <c r="A236" s="13" t="s">
        <v>831</v>
      </c>
      <c r="B236" s="14">
        <f>COUNTIF('KAPASİTE TABLOSU'!F:F,'İL-İLÇE BAZINDA KAPASİTE'!A236)</f>
        <v>0</v>
      </c>
      <c r="C236" s="14" t="e">
        <f>SUMIF('KAPASİTE TABLOSU'!$F:$F,'İL-İLÇE BAZINDA KAPASİTE'!$A236,'KAPASİTE TABLOSU'!#REF!)</f>
        <v>#REF!</v>
      </c>
      <c r="D236" s="14" t="e">
        <f>SUMIF('KAPASİTE TABLOSU'!$F:$F,'İL-İLÇE BAZINDA KAPASİTE'!$A236,'KAPASİTE TABLOSU'!#REF!)</f>
        <v>#REF!</v>
      </c>
      <c r="E236" s="14" t="e">
        <f>SUMIF('KAPASİTE TABLOSU'!$F:$F,'İL-İLÇE BAZINDA KAPASİTE'!$A236,'KAPASİTE TABLOSU'!#REF!)</f>
        <v>#REF!</v>
      </c>
      <c r="F236" s="12" t="str">
        <f t="shared" si="7"/>
        <v>İL</v>
      </c>
      <c r="G236" s="12" t="s">
        <v>174</v>
      </c>
      <c r="H236" s="3" t="s">
        <v>174</v>
      </c>
    </row>
    <row r="237" spans="1:8" x14ac:dyDescent="0.25">
      <c r="A237" s="13" t="s">
        <v>832</v>
      </c>
      <c r="B237" s="14">
        <f>COUNTIF('KAPASİTE TABLOSU'!F:F,'İL-İLÇE BAZINDA KAPASİTE'!A237)</f>
        <v>0</v>
      </c>
      <c r="C237" s="14" t="e">
        <f>SUMIF('KAPASİTE TABLOSU'!$F:$F,'İL-İLÇE BAZINDA KAPASİTE'!$A237,'KAPASİTE TABLOSU'!#REF!)</f>
        <v>#REF!</v>
      </c>
      <c r="D237" s="14" t="e">
        <f>SUMIF('KAPASİTE TABLOSU'!$F:$F,'İL-İLÇE BAZINDA KAPASİTE'!$A237,'KAPASİTE TABLOSU'!#REF!)</f>
        <v>#REF!</v>
      </c>
      <c r="E237" s="14" t="e">
        <f>SUMIF('KAPASİTE TABLOSU'!$F:$F,'İL-İLÇE BAZINDA KAPASİTE'!$A237,'KAPASİTE TABLOSU'!#REF!)</f>
        <v>#REF!</v>
      </c>
      <c r="F237" s="12" t="str">
        <f t="shared" si="7"/>
        <v>İLÇE</v>
      </c>
      <c r="G237" s="12" t="s">
        <v>174</v>
      </c>
      <c r="H237" s="3" t="s">
        <v>175</v>
      </c>
    </row>
    <row r="238" spans="1:8" x14ac:dyDescent="0.25">
      <c r="A238" s="13" t="s">
        <v>833</v>
      </c>
      <c r="B238" s="14">
        <f>COUNTIF('KAPASİTE TABLOSU'!F:F,'İL-İLÇE BAZINDA KAPASİTE'!A238)</f>
        <v>0</v>
      </c>
      <c r="C238" s="14" t="e">
        <f>SUMIF('KAPASİTE TABLOSU'!$F:$F,'İL-İLÇE BAZINDA KAPASİTE'!$A238,'KAPASİTE TABLOSU'!#REF!)</f>
        <v>#REF!</v>
      </c>
      <c r="D238" s="14" t="e">
        <f>SUMIF('KAPASİTE TABLOSU'!$F:$F,'İL-İLÇE BAZINDA KAPASİTE'!$A238,'KAPASİTE TABLOSU'!#REF!)</f>
        <v>#REF!</v>
      </c>
      <c r="E238" s="14" t="e">
        <f>SUMIF('KAPASİTE TABLOSU'!$F:$F,'İL-İLÇE BAZINDA KAPASİTE'!$A238,'KAPASİTE TABLOSU'!#REF!)</f>
        <v>#REF!</v>
      </c>
      <c r="F238" s="12" t="str">
        <f t="shared" si="7"/>
        <v>İLÇE</v>
      </c>
      <c r="G238" s="12" t="s">
        <v>174</v>
      </c>
      <c r="H238" s="3" t="s">
        <v>176</v>
      </c>
    </row>
    <row r="239" spans="1:8" x14ac:dyDescent="0.25">
      <c r="A239" s="13" t="s">
        <v>834</v>
      </c>
      <c r="B239" s="14">
        <f>COUNTIF('KAPASİTE TABLOSU'!F:F,'İL-İLÇE BAZINDA KAPASİTE'!A239)</f>
        <v>0</v>
      </c>
      <c r="C239" s="14" t="e">
        <f>SUMIF('KAPASİTE TABLOSU'!$F:$F,'İL-İLÇE BAZINDA KAPASİTE'!$A239,'KAPASİTE TABLOSU'!#REF!)</f>
        <v>#REF!</v>
      </c>
      <c r="D239" s="14" t="e">
        <f>SUMIF('KAPASİTE TABLOSU'!$F:$F,'İL-İLÇE BAZINDA KAPASİTE'!$A239,'KAPASİTE TABLOSU'!#REF!)</f>
        <v>#REF!</v>
      </c>
      <c r="E239" s="14" t="e">
        <f>SUMIF('KAPASİTE TABLOSU'!$F:$F,'İL-İLÇE BAZINDA KAPASİTE'!$A239,'KAPASİTE TABLOSU'!#REF!)</f>
        <v>#REF!</v>
      </c>
      <c r="F239" s="12" t="str">
        <f t="shared" si="7"/>
        <v>İLÇE</v>
      </c>
      <c r="G239" s="12" t="s">
        <v>174</v>
      </c>
      <c r="H239" s="3" t="s">
        <v>177</v>
      </c>
    </row>
    <row r="240" spans="1:8" x14ac:dyDescent="0.25">
      <c r="A240" s="13" t="s">
        <v>1115</v>
      </c>
      <c r="B240" s="14">
        <f>COUNTIF('KAPASİTE TABLOSU'!F:F,'İL-İLÇE BAZINDA KAPASİTE'!A240)</f>
        <v>0</v>
      </c>
      <c r="C240" s="14" t="e">
        <f>SUMIF('KAPASİTE TABLOSU'!$F:$F,'İL-İLÇE BAZINDA KAPASİTE'!$A240,'KAPASİTE TABLOSU'!#REF!)</f>
        <v>#REF!</v>
      </c>
      <c r="D240" s="14" t="e">
        <f>SUMIF('KAPASİTE TABLOSU'!$F:$F,'İL-İLÇE BAZINDA KAPASİTE'!$A240,'KAPASİTE TABLOSU'!#REF!)</f>
        <v>#REF!</v>
      </c>
      <c r="E240" s="14" t="e">
        <f>SUMIF('KAPASİTE TABLOSU'!$F:$F,'İL-İLÇE BAZINDA KAPASİTE'!$A240,'KAPASİTE TABLOSU'!#REF!)</f>
        <v>#REF!</v>
      </c>
      <c r="F240" s="12" t="str">
        <f t="shared" ref="F240" si="9">IF(G240=H240,"İL","İLÇE")</f>
        <v>İLÇE</v>
      </c>
      <c r="G240" s="12" t="s">
        <v>174</v>
      </c>
      <c r="H240" s="3" t="s">
        <v>178</v>
      </c>
    </row>
    <row r="241" spans="1:8" x14ac:dyDescent="0.25">
      <c r="A241" s="13" t="s">
        <v>835</v>
      </c>
      <c r="B241" s="14">
        <f>COUNTIF('KAPASİTE TABLOSU'!F:F,'İL-İLÇE BAZINDA KAPASİTE'!A241)</f>
        <v>0</v>
      </c>
      <c r="C241" s="14" t="e">
        <f>SUMIF('KAPASİTE TABLOSU'!$F:$F,'İL-İLÇE BAZINDA KAPASİTE'!$A241,'KAPASİTE TABLOSU'!#REF!)</f>
        <v>#REF!</v>
      </c>
      <c r="D241" s="14" t="e">
        <f>SUMIF('KAPASİTE TABLOSU'!$F:$F,'İL-İLÇE BAZINDA KAPASİTE'!$A241,'KAPASİTE TABLOSU'!#REF!)</f>
        <v>#REF!</v>
      </c>
      <c r="E241" s="14" t="e">
        <f>SUMIF('KAPASİTE TABLOSU'!$F:$F,'İL-İLÇE BAZINDA KAPASİTE'!$A241,'KAPASİTE TABLOSU'!#REF!)</f>
        <v>#REF!</v>
      </c>
      <c r="F241" s="12" t="str">
        <f t="shared" si="7"/>
        <v>İLÇE</v>
      </c>
      <c r="G241" s="12" t="s">
        <v>174</v>
      </c>
      <c r="H241" s="3" t="s">
        <v>178</v>
      </c>
    </row>
    <row r="242" spans="1:8" x14ac:dyDescent="0.25">
      <c r="A242" s="13" t="s">
        <v>836</v>
      </c>
      <c r="B242" s="14">
        <f>COUNTIF('KAPASİTE TABLOSU'!F:F,'İL-İLÇE BAZINDA KAPASİTE'!A242)</f>
        <v>0</v>
      </c>
      <c r="C242" s="14" t="e">
        <f>SUMIF('KAPASİTE TABLOSU'!$F:$F,'İL-İLÇE BAZINDA KAPASİTE'!$A242,'KAPASİTE TABLOSU'!#REF!)</f>
        <v>#REF!</v>
      </c>
      <c r="D242" s="14" t="e">
        <f>SUMIF('KAPASİTE TABLOSU'!$F:$F,'İL-İLÇE BAZINDA KAPASİTE'!$A242,'KAPASİTE TABLOSU'!#REF!)</f>
        <v>#REF!</v>
      </c>
      <c r="E242" s="14" t="e">
        <f>SUMIF('KAPASİTE TABLOSU'!$F:$F,'İL-İLÇE BAZINDA KAPASİTE'!$A242,'KAPASİTE TABLOSU'!#REF!)</f>
        <v>#REF!</v>
      </c>
      <c r="F242" s="12" t="str">
        <f t="shared" si="7"/>
        <v>İL</v>
      </c>
      <c r="G242" s="12" t="s">
        <v>179</v>
      </c>
      <c r="H242" s="3" t="s">
        <v>179</v>
      </c>
    </row>
    <row r="243" spans="1:8" x14ac:dyDescent="0.25">
      <c r="A243" s="13" t="s">
        <v>837</v>
      </c>
      <c r="B243" s="14">
        <f>COUNTIF('KAPASİTE TABLOSU'!F:F,'İL-İLÇE BAZINDA KAPASİTE'!A243)</f>
        <v>0</v>
      </c>
      <c r="C243" s="14" t="e">
        <f>SUMIF('KAPASİTE TABLOSU'!$F:$F,'İL-İLÇE BAZINDA KAPASİTE'!$A243,'KAPASİTE TABLOSU'!#REF!)</f>
        <v>#REF!</v>
      </c>
      <c r="D243" s="14" t="e">
        <f>SUMIF('KAPASİTE TABLOSU'!$F:$F,'İL-İLÇE BAZINDA KAPASİTE'!$A243,'KAPASİTE TABLOSU'!#REF!)</f>
        <v>#REF!</v>
      </c>
      <c r="E243" s="14" t="e">
        <f>SUMIF('KAPASİTE TABLOSU'!$F:$F,'İL-İLÇE BAZINDA KAPASİTE'!$A243,'KAPASİTE TABLOSU'!#REF!)</f>
        <v>#REF!</v>
      </c>
      <c r="F243" s="12" t="str">
        <f t="shared" si="7"/>
        <v>İLÇE</v>
      </c>
      <c r="G243" s="12" t="s">
        <v>179</v>
      </c>
      <c r="H243" s="3" t="s">
        <v>180</v>
      </c>
    </row>
    <row r="244" spans="1:8" x14ac:dyDescent="0.25">
      <c r="A244" s="13" t="s">
        <v>838</v>
      </c>
      <c r="B244" s="14">
        <f>COUNTIF('KAPASİTE TABLOSU'!F:F,'İL-İLÇE BAZINDA KAPASİTE'!A244)</f>
        <v>0</v>
      </c>
      <c r="C244" s="14" t="e">
        <f>SUMIF('KAPASİTE TABLOSU'!$F:$F,'İL-İLÇE BAZINDA KAPASİTE'!$A244,'KAPASİTE TABLOSU'!#REF!)</f>
        <v>#REF!</v>
      </c>
      <c r="D244" s="14" t="e">
        <f>SUMIF('KAPASİTE TABLOSU'!$F:$F,'İL-İLÇE BAZINDA KAPASİTE'!$A244,'KAPASİTE TABLOSU'!#REF!)</f>
        <v>#REF!</v>
      </c>
      <c r="E244" s="14" t="e">
        <f>SUMIF('KAPASİTE TABLOSU'!$F:$F,'İL-İLÇE BAZINDA KAPASİTE'!$A244,'KAPASİTE TABLOSU'!#REF!)</f>
        <v>#REF!</v>
      </c>
      <c r="F244" s="12" t="str">
        <f t="shared" si="7"/>
        <v>İLÇE</v>
      </c>
      <c r="G244" s="12" t="s">
        <v>179</v>
      </c>
      <c r="H244" s="3" t="s">
        <v>181</v>
      </c>
    </row>
    <row r="245" spans="1:8" x14ac:dyDescent="0.25">
      <c r="A245" s="13" t="s">
        <v>839</v>
      </c>
      <c r="B245" s="14">
        <f>COUNTIF('KAPASİTE TABLOSU'!F:F,'İL-İLÇE BAZINDA KAPASİTE'!A245)</f>
        <v>0</v>
      </c>
      <c r="C245" s="14" t="e">
        <f>SUMIF('KAPASİTE TABLOSU'!$F:$F,'İL-İLÇE BAZINDA KAPASİTE'!$A245,'KAPASİTE TABLOSU'!#REF!)</f>
        <v>#REF!</v>
      </c>
      <c r="D245" s="14" t="e">
        <f>SUMIF('KAPASİTE TABLOSU'!$F:$F,'İL-İLÇE BAZINDA KAPASİTE'!$A245,'KAPASİTE TABLOSU'!#REF!)</f>
        <v>#REF!</v>
      </c>
      <c r="E245" s="14" t="e">
        <f>SUMIF('KAPASİTE TABLOSU'!$F:$F,'İL-İLÇE BAZINDA KAPASİTE'!$A245,'KAPASİTE TABLOSU'!#REF!)</f>
        <v>#REF!</v>
      </c>
      <c r="F245" s="12" t="str">
        <f t="shared" si="7"/>
        <v>İLÇE</v>
      </c>
      <c r="G245" s="12" t="s">
        <v>179</v>
      </c>
      <c r="H245" s="3" t="s">
        <v>182</v>
      </c>
    </row>
    <row r="246" spans="1:8" x14ac:dyDescent="0.25">
      <c r="A246" s="13" t="s">
        <v>840</v>
      </c>
      <c r="B246" s="14">
        <f>COUNTIF('KAPASİTE TABLOSU'!F:F,'İL-İLÇE BAZINDA KAPASİTE'!A246)</f>
        <v>0</v>
      </c>
      <c r="C246" s="14" t="e">
        <f>SUMIF('KAPASİTE TABLOSU'!$F:$F,'İL-İLÇE BAZINDA KAPASİTE'!$A246,'KAPASİTE TABLOSU'!#REF!)</f>
        <v>#REF!</v>
      </c>
      <c r="D246" s="14" t="e">
        <f>SUMIF('KAPASİTE TABLOSU'!$F:$F,'İL-İLÇE BAZINDA KAPASİTE'!$A246,'KAPASİTE TABLOSU'!#REF!)</f>
        <v>#REF!</v>
      </c>
      <c r="E246" s="14" t="e">
        <f>SUMIF('KAPASİTE TABLOSU'!$F:$F,'İL-İLÇE BAZINDA KAPASİTE'!$A246,'KAPASİTE TABLOSU'!#REF!)</f>
        <v>#REF!</v>
      </c>
      <c r="F246" s="12" t="str">
        <f t="shared" si="7"/>
        <v>İLÇE</v>
      </c>
      <c r="G246" s="12" t="s">
        <v>179</v>
      </c>
      <c r="H246" s="3" t="s">
        <v>183</v>
      </c>
    </row>
    <row r="247" spans="1:8" x14ac:dyDescent="0.25">
      <c r="A247" s="13" t="s">
        <v>841</v>
      </c>
      <c r="B247" s="14">
        <f>COUNTIF('KAPASİTE TABLOSU'!F:F,'İL-İLÇE BAZINDA KAPASİTE'!A247)</f>
        <v>0</v>
      </c>
      <c r="C247" s="14" t="e">
        <f>SUMIF('KAPASİTE TABLOSU'!$F:$F,'İL-İLÇE BAZINDA KAPASİTE'!$A247,'KAPASİTE TABLOSU'!#REF!)</f>
        <v>#REF!</v>
      </c>
      <c r="D247" s="14" t="e">
        <f>SUMIF('KAPASİTE TABLOSU'!$F:$F,'İL-İLÇE BAZINDA KAPASİTE'!$A247,'KAPASİTE TABLOSU'!#REF!)</f>
        <v>#REF!</v>
      </c>
      <c r="E247" s="14" t="e">
        <f>SUMIF('KAPASİTE TABLOSU'!$F:$F,'İL-İLÇE BAZINDA KAPASİTE'!$A247,'KAPASİTE TABLOSU'!#REF!)</f>
        <v>#REF!</v>
      </c>
      <c r="F247" s="12" t="str">
        <f t="shared" si="7"/>
        <v>İLÇE</v>
      </c>
      <c r="G247" s="12" t="s">
        <v>179</v>
      </c>
      <c r="H247" s="3" t="s">
        <v>184</v>
      </c>
    </row>
    <row r="248" spans="1:8" x14ac:dyDescent="0.25">
      <c r="A248" s="13" t="s">
        <v>884</v>
      </c>
      <c r="B248" s="14">
        <f>COUNTIF('KAPASİTE TABLOSU'!F:F,'İL-İLÇE BAZINDA KAPASİTE'!A248)</f>
        <v>0</v>
      </c>
      <c r="C248" s="14" t="e">
        <f>SUMIF('KAPASİTE TABLOSU'!$F:$F,'İL-İLÇE BAZINDA KAPASİTE'!$A248,'KAPASİTE TABLOSU'!#REF!)</f>
        <v>#REF!</v>
      </c>
      <c r="D248" s="14" t="e">
        <f>SUMIF('KAPASİTE TABLOSU'!$F:$F,'İL-İLÇE BAZINDA KAPASİTE'!$A248,'KAPASİTE TABLOSU'!#REF!)</f>
        <v>#REF!</v>
      </c>
      <c r="E248" s="14" t="e">
        <f>SUMIF('KAPASİTE TABLOSU'!$F:$F,'İL-İLÇE BAZINDA KAPASİTE'!$A248,'KAPASİTE TABLOSU'!#REF!)</f>
        <v>#REF!</v>
      </c>
      <c r="F248" s="12" t="str">
        <f t="shared" si="7"/>
        <v>İLÇE</v>
      </c>
      <c r="G248" s="12" t="s">
        <v>179</v>
      </c>
      <c r="H248" s="3" t="s">
        <v>881</v>
      </c>
    </row>
    <row r="249" spans="1:8" x14ac:dyDescent="0.25">
      <c r="A249" s="13" t="s">
        <v>842</v>
      </c>
      <c r="B249" s="14">
        <f>COUNTIF('KAPASİTE TABLOSU'!F:F,'İL-İLÇE BAZINDA KAPASİTE'!A249)</f>
        <v>0</v>
      </c>
      <c r="C249" s="14" t="e">
        <f>SUMIF('KAPASİTE TABLOSU'!$F:$F,'İL-İLÇE BAZINDA KAPASİTE'!$A249,'KAPASİTE TABLOSU'!#REF!)</f>
        <v>#REF!</v>
      </c>
      <c r="D249" s="14" t="e">
        <f>SUMIF('KAPASİTE TABLOSU'!$F:$F,'İL-İLÇE BAZINDA KAPASİTE'!$A249,'KAPASİTE TABLOSU'!#REF!)</f>
        <v>#REF!</v>
      </c>
      <c r="E249" s="14" t="e">
        <f>SUMIF('KAPASİTE TABLOSU'!$F:$F,'İL-İLÇE BAZINDA KAPASİTE'!$A249,'KAPASİTE TABLOSU'!#REF!)</f>
        <v>#REF!</v>
      </c>
      <c r="F249" s="12" t="str">
        <f t="shared" si="7"/>
        <v>İL</v>
      </c>
      <c r="G249" s="12" t="s">
        <v>164</v>
      </c>
      <c r="H249" s="3" t="s">
        <v>164</v>
      </c>
    </row>
    <row r="250" spans="1:8" x14ac:dyDescent="0.25">
      <c r="A250" s="13" t="s">
        <v>843</v>
      </c>
      <c r="B250" s="14">
        <f>COUNTIF('KAPASİTE TABLOSU'!F:F,'İL-İLÇE BAZINDA KAPASİTE'!A250)</f>
        <v>0</v>
      </c>
      <c r="C250" s="14" t="e">
        <f>SUMIF('KAPASİTE TABLOSU'!$F:$F,'İL-İLÇE BAZINDA KAPASİTE'!$A250,'KAPASİTE TABLOSU'!#REF!)</f>
        <v>#REF!</v>
      </c>
      <c r="D250" s="14" t="e">
        <f>SUMIF('KAPASİTE TABLOSU'!$F:$F,'İL-İLÇE BAZINDA KAPASİTE'!$A250,'KAPASİTE TABLOSU'!#REF!)</f>
        <v>#REF!</v>
      </c>
      <c r="E250" s="14" t="e">
        <f>SUMIF('KAPASİTE TABLOSU'!$F:$F,'İL-İLÇE BAZINDA KAPASİTE'!$A250,'KAPASİTE TABLOSU'!#REF!)</f>
        <v>#REF!</v>
      </c>
      <c r="F250" s="12" t="str">
        <f t="shared" si="7"/>
        <v>İL</v>
      </c>
      <c r="G250" s="12" t="s">
        <v>70</v>
      </c>
      <c r="H250" s="3" t="s">
        <v>70</v>
      </c>
    </row>
    <row r="251" spans="1:8" x14ac:dyDescent="0.25">
      <c r="A251" s="13" t="s">
        <v>844</v>
      </c>
      <c r="B251" s="14">
        <f>COUNTIF('KAPASİTE TABLOSU'!F:F,'İL-İLÇE BAZINDA KAPASİTE'!A251)</f>
        <v>0</v>
      </c>
      <c r="C251" s="14" t="e">
        <f>SUMIF('KAPASİTE TABLOSU'!$F:$F,'İL-İLÇE BAZINDA KAPASİTE'!$A251,'KAPASİTE TABLOSU'!#REF!)</f>
        <v>#REF!</v>
      </c>
      <c r="D251" s="14" t="e">
        <f>SUMIF('KAPASİTE TABLOSU'!$F:$F,'İL-İLÇE BAZINDA KAPASİTE'!$A251,'KAPASİTE TABLOSU'!#REF!)</f>
        <v>#REF!</v>
      </c>
      <c r="E251" s="14" t="e">
        <f>SUMIF('KAPASİTE TABLOSU'!$F:$F,'İL-İLÇE BAZINDA KAPASİTE'!$A251,'KAPASİTE TABLOSU'!#REF!)</f>
        <v>#REF!</v>
      </c>
      <c r="F251" s="12" t="str">
        <f t="shared" si="7"/>
        <v>İL</v>
      </c>
      <c r="G251" s="12" t="s">
        <v>200</v>
      </c>
      <c r="H251" s="3" t="s">
        <v>200</v>
      </c>
    </row>
    <row r="252" spans="1:8" x14ac:dyDescent="0.25">
      <c r="A252" s="13" t="s">
        <v>845</v>
      </c>
      <c r="B252" s="14">
        <f>COUNTIF('KAPASİTE TABLOSU'!F:F,'İL-İLÇE BAZINDA KAPASİTE'!A252)</f>
        <v>0</v>
      </c>
      <c r="C252" s="14" t="e">
        <f>SUMIF('KAPASİTE TABLOSU'!$F:$F,'İL-İLÇE BAZINDA KAPASİTE'!$A252,'KAPASİTE TABLOSU'!#REF!)</f>
        <v>#REF!</v>
      </c>
      <c r="D252" s="14" t="e">
        <f>SUMIF('KAPASİTE TABLOSU'!$F:$F,'İL-İLÇE BAZINDA KAPASİTE'!$A252,'KAPASİTE TABLOSU'!#REF!)</f>
        <v>#REF!</v>
      </c>
      <c r="E252" s="14" t="e">
        <f>SUMIF('KAPASİTE TABLOSU'!$F:$F,'İL-İLÇE BAZINDA KAPASİTE'!$A252,'KAPASİTE TABLOSU'!#REF!)</f>
        <v>#REF!</v>
      </c>
      <c r="F252" s="12" t="str">
        <f t="shared" si="7"/>
        <v>İLÇE</v>
      </c>
      <c r="G252" s="12" t="s">
        <v>200</v>
      </c>
      <c r="H252" s="3" t="s">
        <v>201</v>
      </c>
    </row>
    <row r="253" spans="1:8" x14ac:dyDescent="0.25">
      <c r="A253" s="13" t="s">
        <v>846</v>
      </c>
      <c r="B253" s="14">
        <f>COUNTIF('KAPASİTE TABLOSU'!F:F,'İL-İLÇE BAZINDA KAPASİTE'!A253)</f>
        <v>0</v>
      </c>
      <c r="C253" s="14" t="e">
        <f>SUMIF('KAPASİTE TABLOSU'!$F:$F,'İL-İLÇE BAZINDA KAPASİTE'!$A253,'KAPASİTE TABLOSU'!#REF!)</f>
        <v>#REF!</v>
      </c>
      <c r="D253" s="14" t="e">
        <f>SUMIF('KAPASİTE TABLOSU'!$F:$F,'İL-İLÇE BAZINDA KAPASİTE'!$A253,'KAPASİTE TABLOSU'!#REF!)</f>
        <v>#REF!</v>
      </c>
      <c r="E253" s="14" t="e">
        <f>SUMIF('KAPASİTE TABLOSU'!$F:$F,'İL-İLÇE BAZINDA KAPASİTE'!$A253,'KAPASİTE TABLOSU'!#REF!)</f>
        <v>#REF!</v>
      </c>
      <c r="F253" s="12" t="str">
        <f t="shared" si="7"/>
        <v>İLÇE</v>
      </c>
      <c r="G253" s="12" t="s">
        <v>200</v>
      </c>
      <c r="H253" s="3" t="s">
        <v>202</v>
      </c>
    </row>
    <row r="254" spans="1:8" x14ac:dyDescent="0.25">
      <c r="A254" s="13" t="s">
        <v>847</v>
      </c>
      <c r="B254" s="14">
        <f>COUNTIF('KAPASİTE TABLOSU'!F:F,'İL-İLÇE BAZINDA KAPASİTE'!A254)</f>
        <v>0</v>
      </c>
      <c r="C254" s="14" t="e">
        <f>SUMIF('KAPASİTE TABLOSU'!$F:$F,'İL-İLÇE BAZINDA KAPASİTE'!$A254,'KAPASİTE TABLOSU'!#REF!)</f>
        <v>#REF!</v>
      </c>
      <c r="D254" s="14" t="e">
        <f>SUMIF('KAPASİTE TABLOSU'!$F:$F,'İL-İLÇE BAZINDA KAPASİTE'!$A254,'KAPASİTE TABLOSU'!#REF!)</f>
        <v>#REF!</v>
      </c>
      <c r="E254" s="14" t="e">
        <f>SUMIF('KAPASİTE TABLOSU'!$F:$F,'İL-İLÇE BAZINDA KAPASİTE'!$A254,'KAPASİTE TABLOSU'!#REF!)</f>
        <v>#REF!</v>
      </c>
      <c r="F254" s="12" t="str">
        <f t="shared" si="7"/>
        <v>İLÇE</v>
      </c>
      <c r="G254" s="12" t="s">
        <v>200</v>
      </c>
      <c r="H254" s="3" t="s">
        <v>203</v>
      </c>
    </row>
    <row r="255" spans="1:8" x14ac:dyDescent="0.25">
      <c r="A255" s="13" t="s">
        <v>848</v>
      </c>
      <c r="B255" s="14">
        <f>COUNTIF('KAPASİTE TABLOSU'!F:F,'İL-İLÇE BAZINDA KAPASİTE'!A255)</f>
        <v>0</v>
      </c>
      <c r="C255" s="14" t="e">
        <f>SUMIF('KAPASİTE TABLOSU'!$F:$F,'İL-İLÇE BAZINDA KAPASİTE'!$A255,'KAPASİTE TABLOSU'!#REF!)</f>
        <v>#REF!</v>
      </c>
      <c r="D255" s="14" t="e">
        <f>SUMIF('KAPASİTE TABLOSU'!$F:$F,'İL-İLÇE BAZINDA KAPASİTE'!$A255,'KAPASİTE TABLOSU'!#REF!)</f>
        <v>#REF!</v>
      </c>
      <c r="E255" s="14" t="e">
        <f>SUMIF('KAPASİTE TABLOSU'!$F:$F,'İL-İLÇE BAZINDA KAPASİTE'!$A255,'KAPASİTE TABLOSU'!#REF!)</f>
        <v>#REF!</v>
      </c>
      <c r="F255" s="12" t="str">
        <f t="shared" si="7"/>
        <v>İL</v>
      </c>
      <c r="G255" s="12" t="s">
        <v>55</v>
      </c>
      <c r="H255" s="3" t="s">
        <v>55</v>
      </c>
    </row>
    <row r="256" spans="1:8" x14ac:dyDescent="0.25">
      <c r="A256" s="13" t="s">
        <v>849</v>
      </c>
      <c r="B256" s="14">
        <f>COUNTIF('KAPASİTE TABLOSU'!F:F,'İL-İLÇE BAZINDA KAPASİTE'!A256)</f>
        <v>0</v>
      </c>
      <c r="C256" s="14" t="e">
        <f>SUMIF('KAPASİTE TABLOSU'!$F:$F,'İL-İLÇE BAZINDA KAPASİTE'!$A256,'KAPASİTE TABLOSU'!#REF!)</f>
        <v>#REF!</v>
      </c>
      <c r="D256" s="14" t="e">
        <f>SUMIF('KAPASİTE TABLOSU'!$F:$F,'İL-İLÇE BAZINDA KAPASİTE'!$A256,'KAPASİTE TABLOSU'!#REF!)</f>
        <v>#REF!</v>
      </c>
      <c r="E256" s="14" t="e">
        <f>SUMIF('KAPASİTE TABLOSU'!$F:$F,'İL-İLÇE BAZINDA KAPASİTE'!$A256,'KAPASİTE TABLOSU'!#REF!)</f>
        <v>#REF!</v>
      </c>
      <c r="F256" s="12" t="str">
        <f t="shared" si="7"/>
        <v>İLÇE</v>
      </c>
      <c r="G256" s="12" t="s">
        <v>55</v>
      </c>
      <c r="H256" s="3" t="s">
        <v>562</v>
      </c>
    </row>
    <row r="257" spans="1:8" x14ac:dyDescent="0.25">
      <c r="A257" s="13" t="s">
        <v>850</v>
      </c>
      <c r="B257" s="14">
        <f>COUNTIF('KAPASİTE TABLOSU'!F:F,'İL-İLÇE BAZINDA KAPASİTE'!A257)</f>
        <v>0</v>
      </c>
      <c r="C257" s="14" t="e">
        <f>SUMIF('KAPASİTE TABLOSU'!$F:$F,'İL-İLÇE BAZINDA KAPASİTE'!$A257,'KAPASİTE TABLOSU'!#REF!)</f>
        <v>#REF!</v>
      </c>
      <c r="D257" s="14" t="e">
        <f>SUMIF('KAPASİTE TABLOSU'!$F:$F,'İL-İLÇE BAZINDA KAPASİTE'!$A257,'KAPASİTE TABLOSU'!#REF!)</f>
        <v>#REF!</v>
      </c>
      <c r="E257" s="14" t="e">
        <f>SUMIF('KAPASİTE TABLOSU'!$F:$F,'İL-İLÇE BAZINDA KAPASİTE'!$A257,'KAPASİTE TABLOSU'!#REF!)</f>
        <v>#REF!</v>
      </c>
      <c r="F257" s="12" t="str">
        <f t="shared" si="7"/>
        <v>İL</v>
      </c>
      <c r="G257" s="12" t="s">
        <v>144</v>
      </c>
      <c r="H257" s="3" t="s">
        <v>144</v>
      </c>
    </row>
    <row r="258" spans="1:8" x14ac:dyDescent="0.25">
      <c r="A258" s="13" t="s">
        <v>851</v>
      </c>
      <c r="B258" s="14">
        <f>COUNTIF('KAPASİTE TABLOSU'!F:F,'İL-İLÇE BAZINDA KAPASİTE'!A258)</f>
        <v>0</v>
      </c>
      <c r="C258" s="14" t="e">
        <f>SUMIF('KAPASİTE TABLOSU'!$F:$F,'İL-İLÇE BAZINDA KAPASİTE'!$A258,'KAPASİTE TABLOSU'!#REF!)</f>
        <v>#REF!</v>
      </c>
      <c r="D258" s="14" t="e">
        <f>SUMIF('KAPASİTE TABLOSU'!$F:$F,'İL-İLÇE BAZINDA KAPASİTE'!$A258,'KAPASİTE TABLOSU'!#REF!)</f>
        <v>#REF!</v>
      </c>
      <c r="E258" s="14" t="e">
        <f>SUMIF('KAPASİTE TABLOSU'!$F:$F,'İL-İLÇE BAZINDA KAPASİTE'!$A258,'KAPASİTE TABLOSU'!#REF!)</f>
        <v>#REF!</v>
      </c>
      <c r="F258" s="12" t="str">
        <f t="shared" si="7"/>
        <v>İLÇE</v>
      </c>
      <c r="G258" s="12" t="s">
        <v>144</v>
      </c>
      <c r="H258" s="3" t="s">
        <v>145</v>
      </c>
    </row>
    <row r="259" spans="1:8" x14ac:dyDescent="0.25">
      <c r="A259" s="13" t="s">
        <v>852</v>
      </c>
      <c r="B259" s="14">
        <f>COUNTIF('KAPASİTE TABLOSU'!F:F,'İL-İLÇE BAZINDA KAPASİTE'!A259)</f>
        <v>0</v>
      </c>
      <c r="C259" s="14" t="e">
        <f>SUMIF('KAPASİTE TABLOSU'!$F:$F,'İL-İLÇE BAZINDA KAPASİTE'!$A259,'KAPASİTE TABLOSU'!#REF!)</f>
        <v>#REF!</v>
      </c>
      <c r="D259" s="14" t="e">
        <f>SUMIF('KAPASİTE TABLOSU'!$F:$F,'İL-İLÇE BAZINDA KAPASİTE'!$A259,'KAPASİTE TABLOSU'!#REF!)</f>
        <v>#REF!</v>
      </c>
      <c r="E259" s="14" t="e">
        <f>SUMIF('KAPASİTE TABLOSU'!$F:$F,'İL-İLÇE BAZINDA KAPASİTE'!$A259,'KAPASİTE TABLOSU'!#REF!)</f>
        <v>#REF!</v>
      </c>
      <c r="F259" s="12" t="str">
        <f t="shared" si="7"/>
        <v>İL</v>
      </c>
      <c r="G259" s="12" t="s">
        <v>212</v>
      </c>
      <c r="H259" s="3" t="s">
        <v>212</v>
      </c>
    </row>
    <row r="260" spans="1:8" x14ac:dyDescent="0.25">
      <c r="A260" s="13" t="s">
        <v>853</v>
      </c>
      <c r="B260" s="14">
        <f>COUNTIF('KAPASİTE TABLOSU'!F:F,'İL-İLÇE BAZINDA KAPASİTE'!A260)</f>
        <v>0</v>
      </c>
      <c r="C260" s="14" t="e">
        <f>SUMIF('KAPASİTE TABLOSU'!$F:$F,'İL-İLÇE BAZINDA KAPASİTE'!$A260,'KAPASİTE TABLOSU'!#REF!)</f>
        <v>#REF!</v>
      </c>
      <c r="D260" s="14" t="e">
        <f>SUMIF('KAPASİTE TABLOSU'!$F:$F,'İL-İLÇE BAZINDA KAPASİTE'!$A260,'KAPASİTE TABLOSU'!#REF!)</f>
        <v>#REF!</v>
      </c>
      <c r="E260" s="14" t="e">
        <f>SUMIF('KAPASİTE TABLOSU'!$F:$F,'İL-İLÇE BAZINDA KAPASİTE'!$A260,'KAPASİTE TABLOSU'!#REF!)</f>
        <v>#REF!</v>
      </c>
      <c r="F260" s="12" t="str">
        <f t="shared" si="7"/>
        <v>İLÇE</v>
      </c>
      <c r="G260" s="12" t="s">
        <v>212</v>
      </c>
      <c r="H260" s="3" t="s">
        <v>215</v>
      </c>
    </row>
    <row r="261" spans="1:8" x14ac:dyDescent="0.25">
      <c r="A261" s="13" t="s">
        <v>854</v>
      </c>
      <c r="B261" s="14">
        <f>COUNTIF('KAPASİTE TABLOSU'!F:F,'İL-İLÇE BAZINDA KAPASİTE'!A261)</f>
        <v>0</v>
      </c>
      <c r="C261" s="14" t="e">
        <f>SUMIF('KAPASİTE TABLOSU'!$F:$F,'İL-İLÇE BAZINDA KAPASİTE'!$A261,'KAPASİTE TABLOSU'!#REF!)</f>
        <v>#REF!</v>
      </c>
      <c r="D261" s="14" t="e">
        <f>SUMIF('KAPASİTE TABLOSU'!$F:$F,'İL-İLÇE BAZINDA KAPASİTE'!$A261,'KAPASİTE TABLOSU'!#REF!)</f>
        <v>#REF!</v>
      </c>
      <c r="E261" s="14" t="e">
        <f>SUMIF('KAPASİTE TABLOSU'!$F:$F,'İL-İLÇE BAZINDA KAPASİTE'!$A261,'KAPASİTE TABLOSU'!#REF!)</f>
        <v>#REF!</v>
      </c>
      <c r="F261" s="12" t="str">
        <f t="shared" si="7"/>
        <v>İLÇE</v>
      </c>
      <c r="G261" s="12" t="s">
        <v>212</v>
      </c>
      <c r="H261" s="3" t="s">
        <v>213</v>
      </c>
    </row>
    <row r="262" spans="1:8" x14ac:dyDescent="0.25">
      <c r="A262" s="13" t="s">
        <v>855</v>
      </c>
      <c r="B262" s="14">
        <f>COUNTIF('KAPASİTE TABLOSU'!F:F,'İL-İLÇE BAZINDA KAPASİTE'!A262)</f>
        <v>0</v>
      </c>
      <c r="C262" s="14" t="e">
        <f>SUMIF('KAPASİTE TABLOSU'!$F:$F,'İL-İLÇE BAZINDA KAPASİTE'!$A262,'KAPASİTE TABLOSU'!#REF!)</f>
        <v>#REF!</v>
      </c>
      <c r="D262" s="14" t="e">
        <f>SUMIF('KAPASİTE TABLOSU'!$F:$F,'İL-İLÇE BAZINDA KAPASİTE'!$A262,'KAPASİTE TABLOSU'!#REF!)</f>
        <v>#REF!</v>
      </c>
      <c r="E262" s="14" t="e">
        <f>SUMIF('KAPASİTE TABLOSU'!$F:$F,'İL-İLÇE BAZINDA KAPASİTE'!$A262,'KAPASİTE TABLOSU'!#REF!)</f>
        <v>#REF!</v>
      </c>
      <c r="F262" s="12" t="str">
        <f t="shared" si="7"/>
        <v>İLÇE</v>
      </c>
      <c r="G262" s="12" t="s">
        <v>212</v>
      </c>
      <c r="H262" s="3" t="s">
        <v>214</v>
      </c>
    </row>
    <row r="263" spans="1:8" x14ac:dyDescent="0.25">
      <c r="A263" s="13" t="s">
        <v>856</v>
      </c>
      <c r="B263" s="14">
        <f>COUNTIF('KAPASİTE TABLOSU'!F:F,'İL-İLÇE BAZINDA KAPASİTE'!A263)</f>
        <v>0</v>
      </c>
      <c r="C263" s="14" t="e">
        <f>SUMIF('KAPASİTE TABLOSU'!$F:$F,'İL-İLÇE BAZINDA KAPASİTE'!$A263,'KAPASİTE TABLOSU'!#REF!)</f>
        <v>#REF!</v>
      </c>
      <c r="D263" s="14" t="e">
        <f>SUMIF('KAPASİTE TABLOSU'!$F:$F,'İL-İLÇE BAZINDA KAPASİTE'!$A263,'KAPASİTE TABLOSU'!#REF!)</f>
        <v>#REF!</v>
      </c>
      <c r="E263" s="14" t="e">
        <f>SUMIF('KAPASİTE TABLOSU'!$F:$F,'İL-İLÇE BAZINDA KAPASİTE'!$A263,'KAPASİTE TABLOSU'!#REF!)</f>
        <v>#REF!</v>
      </c>
      <c r="F263" s="12" t="str">
        <f t="shared" si="7"/>
        <v>İLÇE</v>
      </c>
      <c r="G263" s="12" t="s">
        <v>212</v>
      </c>
      <c r="H263" s="3" t="s">
        <v>493</v>
      </c>
    </row>
    <row r="264" spans="1:8" x14ac:dyDescent="0.25">
      <c r="A264" s="13" t="s">
        <v>857</v>
      </c>
      <c r="B264" s="14">
        <f>COUNTIF('KAPASİTE TABLOSU'!F:F,'İL-İLÇE BAZINDA KAPASİTE'!A264)</f>
        <v>0</v>
      </c>
      <c r="C264" s="14" t="e">
        <f>SUMIF('KAPASİTE TABLOSU'!$F:$F,'İL-İLÇE BAZINDA KAPASİTE'!$A264,'KAPASİTE TABLOSU'!#REF!)</f>
        <v>#REF!</v>
      </c>
      <c r="D264" s="14" t="e">
        <f>SUMIF('KAPASİTE TABLOSU'!$F:$F,'İL-İLÇE BAZINDA KAPASİTE'!$A264,'KAPASİTE TABLOSU'!#REF!)</f>
        <v>#REF!</v>
      </c>
      <c r="E264" s="14" t="e">
        <f>SUMIF('KAPASİTE TABLOSU'!$F:$F,'İL-İLÇE BAZINDA KAPASİTE'!$A264,'KAPASİTE TABLOSU'!#REF!)</f>
        <v>#REF!</v>
      </c>
      <c r="F264" s="12" t="s">
        <v>560</v>
      </c>
      <c r="G264" s="12" t="s">
        <v>560</v>
      </c>
      <c r="H264" s="12" t="s">
        <v>535</v>
      </c>
    </row>
    <row r="265" spans="1:8" x14ac:dyDescent="0.25">
      <c r="A265" s="13" t="s">
        <v>858</v>
      </c>
      <c r="B265" s="14">
        <f>COUNTIF('KAPASİTE TABLOSU'!F:F,'İL-İLÇE BAZINDA KAPASİTE'!A265)</f>
        <v>0</v>
      </c>
      <c r="C265" s="14" t="e">
        <f>SUMIF('KAPASİTE TABLOSU'!$F:$F,'İL-İLÇE BAZINDA KAPASİTE'!$A265,'KAPASİTE TABLOSU'!#REF!)</f>
        <v>#REF!</v>
      </c>
      <c r="D265" s="14" t="e">
        <f>SUMIF('KAPASİTE TABLOSU'!$F:$F,'İL-İLÇE BAZINDA KAPASİTE'!$A265,'KAPASİTE TABLOSU'!#REF!)</f>
        <v>#REF!</v>
      </c>
      <c r="E265" s="14" t="e">
        <f>SUMIF('KAPASİTE TABLOSU'!$F:$F,'İL-İLÇE BAZINDA KAPASİTE'!$A265,'KAPASİTE TABLOSU'!#REF!)</f>
        <v>#REF!</v>
      </c>
      <c r="F265" s="12" t="s">
        <v>560</v>
      </c>
      <c r="G265" s="12" t="s">
        <v>560</v>
      </c>
      <c r="H265" s="12" t="s">
        <v>559</v>
      </c>
    </row>
    <row r="266" spans="1:8" ht="30.75" customHeight="1" x14ac:dyDescent="0.25">
      <c r="A266" s="16" t="s">
        <v>3</v>
      </c>
      <c r="B266" s="17">
        <f>SUM(B3:B265)</f>
        <v>1</v>
      </c>
      <c r="C266" s="17" t="e">
        <f>SUM(C3:C265)</f>
        <v>#REF!</v>
      </c>
      <c r="D266" s="17" t="e">
        <f>SUM(D3:D265)</f>
        <v>#REF!</v>
      </c>
      <c r="E266" s="17" t="e">
        <f>SUM(E3:E265)</f>
        <v>#REF!</v>
      </c>
    </row>
    <row r="267" spans="1:8" x14ac:dyDescent="0.25">
      <c r="C267" s="15"/>
      <c r="D267" s="15"/>
      <c r="E267" s="15"/>
    </row>
    <row r="269" spans="1:8" x14ac:dyDescent="0.25">
      <c r="C269" s="15"/>
      <c r="E269" s="15"/>
    </row>
    <row r="271" spans="1:8" x14ac:dyDescent="0.25">
      <c r="B271" s="15"/>
      <c r="C271" s="15"/>
      <c r="D271" s="15"/>
      <c r="E271" s="15"/>
    </row>
  </sheetData>
  <mergeCells count="3">
    <mergeCell ref="B1:B2"/>
    <mergeCell ref="A1:A2"/>
    <mergeCell ref="C1:E1"/>
  </mergeCells>
  <printOptions horizontalCentered="1"/>
  <pageMargins left="0.15748031496062992" right="0.15748031496062992" top="0.27" bottom="0.36" header="0.15748031496062992" footer="0.15748031496062992"/>
  <pageSetup paperSize="9" scale="94" fitToHeight="0" orientation="portrait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5"/>
  <sheetViews>
    <sheetView zoomScaleNormal="100" workbookViewId="0">
      <pane ySplit="2" topLeftCell="A3" activePane="bottomLeft" state="frozen"/>
      <selection pane="bottomLeft" sqref="A1:A2"/>
    </sheetView>
  </sheetViews>
  <sheetFormatPr defaultRowHeight="15" x14ac:dyDescent="0.25"/>
  <cols>
    <col min="1" max="1" width="24.5703125" style="69" customWidth="1"/>
    <col min="2" max="4" width="12.7109375" style="70" customWidth="1"/>
    <col min="5" max="5" width="12.7109375" style="69" customWidth="1"/>
    <col min="6" max="8" width="13.42578125" style="70" bestFit="1" customWidth="1"/>
    <col min="9" max="9" width="12.7109375" style="69" customWidth="1"/>
    <col min="10" max="16384" width="9.140625" style="46"/>
  </cols>
  <sheetData>
    <row r="1" spans="1:9" s="33" customFormat="1" ht="17.25" customHeight="1" x14ac:dyDescent="0.2">
      <c r="A1" s="107" t="s">
        <v>892</v>
      </c>
      <c r="B1" s="109" t="s">
        <v>860</v>
      </c>
      <c r="C1" s="109"/>
      <c r="D1" s="109"/>
      <c r="E1" s="109"/>
      <c r="F1" s="110" t="s">
        <v>494</v>
      </c>
      <c r="G1" s="109"/>
      <c r="H1" s="109"/>
      <c r="I1" s="111"/>
    </row>
    <row r="2" spans="1:9" s="33" customFormat="1" ht="22.5" customHeight="1" thickBot="1" x14ac:dyDescent="0.25">
      <c r="A2" s="108"/>
      <c r="B2" s="34" t="s">
        <v>1</v>
      </c>
      <c r="C2" s="35" t="s">
        <v>2</v>
      </c>
      <c r="D2" s="35" t="s">
        <v>944</v>
      </c>
      <c r="E2" s="36" t="s">
        <v>3</v>
      </c>
      <c r="F2" s="37" t="s">
        <v>1</v>
      </c>
      <c r="G2" s="35" t="s">
        <v>2</v>
      </c>
      <c r="H2" s="35" t="s">
        <v>944</v>
      </c>
      <c r="I2" s="38" t="s">
        <v>3</v>
      </c>
    </row>
    <row r="3" spans="1:9" x14ac:dyDescent="0.25">
      <c r="A3" s="39" t="s">
        <v>4</v>
      </c>
      <c r="B3" s="40">
        <f>COUNTIFS('KAPASİTE TABLOSU'!$A:$A,A3,'KAPASİTE TABLOSU'!$D:$D,"KIZ")</f>
        <v>0</v>
      </c>
      <c r="C3" s="41">
        <f>COUNTIFS('KAPASİTE TABLOSU'!$A:$A,A3,'KAPASİTE TABLOSU'!$D:$D,"ERKEK")</f>
        <v>0</v>
      </c>
      <c r="D3" s="41">
        <f>COUNTIFS('KAPASİTE TABLOSU'!$A:$A,A3,'KAPASİTE TABLOSU'!$D:$D,"AYRI")</f>
        <v>0</v>
      </c>
      <c r="E3" s="42">
        <f>SUM(B3:D3)</f>
        <v>0</v>
      </c>
      <c r="F3" s="43" t="e">
        <f>SUMIFS('KAPASİTE TABLOSU'!#REF!,'KAPASİTE TABLOSU'!$A:$A,A3,'KAPASİTE TABLOSU'!$D:$D,"KIZ")</f>
        <v>#REF!</v>
      </c>
      <c r="G3" s="44" t="e">
        <f>SUMIFS('KAPASİTE TABLOSU'!#REF!,'KAPASİTE TABLOSU'!$A:$A,A3,'KAPASİTE TABLOSU'!$D:$D,"ERKEK")</f>
        <v>#REF!</v>
      </c>
      <c r="H3" s="44" t="e">
        <f>SUMIFS('KAPASİTE TABLOSU'!#REF!,'KAPASİTE TABLOSU'!$A:$A,A3,'KAPASİTE TABLOSU'!$D:$D,"AYRI")</f>
        <v>#REF!</v>
      </c>
      <c r="I3" s="45" t="e">
        <f>SUM(F3:H3)</f>
        <v>#REF!</v>
      </c>
    </row>
    <row r="4" spans="1:9" x14ac:dyDescent="0.25">
      <c r="A4" s="47" t="s">
        <v>160</v>
      </c>
      <c r="B4" s="48">
        <f>COUNTIFS('KAPASİTE TABLOSU'!$A:$A,A4,'KAPASİTE TABLOSU'!$D:$D,"KIZ")</f>
        <v>0</v>
      </c>
      <c r="C4" s="49">
        <f>COUNTIFS('KAPASİTE TABLOSU'!$A:$A,A4,'KAPASİTE TABLOSU'!$D:$D,"ERKEK")</f>
        <v>0</v>
      </c>
      <c r="D4" s="49">
        <f>COUNTIFS('KAPASİTE TABLOSU'!$A:$A,A4,'KAPASİTE TABLOSU'!$D:$D,"AYRI")</f>
        <v>0</v>
      </c>
      <c r="E4" s="50">
        <f t="shared" ref="E4:E67" si="0">SUM(B4:D4)</f>
        <v>0</v>
      </c>
      <c r="F4" s="51" t="e">
        <f>SUMIFS('KAPASİTE TABLOSU'!#REF!,'KAPASİTE TABLOSU'!$A:$A,A4,'KAPASİTE TABLOSU'!$D:$D,"KIZ")</f>
        <v>#REF!</v>
      </c>
      <c r="G4" s="52" t="e">
        <f>SUMIFS('KAPASİTE TABLOSU'!#REF!,'KAPASİTE TABLOSU'!$A:$A,A4,'KAPASİTE TABLOSU'!$D:$D,"ERKEK")</f>
        <v>#REF!</v>
      </c>
      <c r="H4" s="52" t="e">
        <f>SUMIFS('KAPASİTE TABLOSU'!#REF!,'KAPASİTE TABLOSU'!$A:$A,A4,'KAPASİTE TABLOSU'!$D:$D,"AYRI")</f>
        <v>#REF!</v>
      </c>
      <c r="I4" s="53" t="e">
        <f t="shared" ref="I4:I67" si="1">SUM(F4:H4)</f>
        <v>#REF!</v>
      </c>
    </row>
    <row r="5" spans="1:9" x14ac:dyDescent="0.25">
      <c r="A5" s="54" t="s">
        <v>549</v>
      </c>
      <c r="B5" s="48">
        <f>COUNTIFS('KAPASİTE TABLOSU'!$A:$A,A5,'KAPASİTE TABLOSU'!$D:$D,"KIZ")</f>
        <v>0</v>
      </c>
      <c r="C5" s="49">
        <f>COUNTIFS('KAPASİTE TABLOSU'!$A:$A,A5,'KAPASİTE TABLOSU'!$D:$D,"ERKEK")</f>
        <v>0</v>
      </c>
      <c r="D5" s="49">
        <f>COUNTIFS('KAPASİTE TABLOSU'!$A:$A,A5,'KAPASİTE TABLOSU'!$D:$D,"AYRI")</f>
        <v>0</v>
      </c>
      <c r="E5" s="50">
        <f t="shared" si="0"/>
        <v>0</v>
      </c>
      <c r="F5" s="51" t="e">
        <f>SUMIFS('KAPASİTE TABLOSU'!#REF!,'KAPASİTE TABLOSU'!$A:$A,A5,'KAPASİTE TABLOSU'!$D:$D,"KIZ")</f>
        <v>#REF!</v>
      </c>
      <c r="G5" s="52" t="e">
        <f>SUMIFS('KAPASİTE TABLOSU'!#REF!,'KAPASİTE TABLOSU'!$A:$A,A5,'KAPASİTE TABLOSU'!$D:$D,"ERKEK")</f>
        <v>#REF!</v>
      </c>
      <c r="H5" s="52" t="e">
        <f>SUMIFS('KAPASİTE TABLOSU'!#REF!,'KAPASİTE TABLOSU'!$A:$A,A5,'KAPASİTE TABLOSU'!$D:$D,"AYRI")</f>
        <v>#REF!</v>
      </c>
      <c r="I5" s="53" t="e">
        <f t="shared" si="1"/>
        <v>#REF!</v>
      </c>
    </row>
    <row r="6" spans="1:9" x14ac:dyDescent="0.25">
      <c r="A6" s="47" t="s">
        <v>92</v>
      </c>
      <c r="B6" s="48">
        <f>COUNTIFS('KAPASİTE TABLOSU'!$A:$A,A6,'KAPASİTE TABLOSU'!$D:$D,"KIZ")</f>
        <v>0</v>
      </c>
      <c r="C6" s="49">
        <f>COUNTIFS('KAPASİTE TABLOSU'!$A:$A,A6,'KAPASİTE TABLOSU'!$D:$D,"ERKEK")</f>
        <v>0</v>
      </c>
      <c r="D6" s="49">
        <f>COUNTIFS('KAPASİTE TABLOSU'!$A:$A,A6,'KAPASİTE TABLOSU'!$D:$D,"AYRI")</f>
        <v>0</v>
      </c>
      <c r="E6" s="50">
        <f t="shared" si="0"/>
        <v>0</v>
      </c>
      <c r="F6" s="51" t="e">
        <f>SUMIFS('KAPASİTE TABLOSU'!#REF!,'KAPASİTE TABLOSU'!$A:$A,A6,'KAPASİTE TABLOSU'!$D:$D,"KIZ")</f>
        <v>#REF!</v>
      </c>
      <c r="G6" s="52" t="e">
        <f>SUMIFS('KAPASİTE TABLOSU'!#REF!,'KAPASİTE TABLOSU'!$A:$A,A6,'KAPASİTE TABLOSU'!$D:$D,"ERKEK")</f>
        <v>#REF!</v>
      </c>
      <c r="H6" s="52" t="e">
        <f>SUMIFS('KAPASİTE TABLOSU'!#REF!,'KAPASİTE TABLOSU'!$A:$A,A6,'KAPASİTE TABLOSU'!$D:$D,"AYRI")</f>
        <v>#REF!</v>
      </c>
      <c r="I6" s="53" t="e">
        <f t="shared" si="1"/>
        <v>#REF!</v>
      </c>
    </row>
    <row r="7" spans="1:9" x14ac:dyDescent="0.25">
      <c r="A7" s="47" t="s">
        <v>154</v>
      </c>
      <c r="B7" s="48">
        <f>COUNTIFS('KAPASİTE TABLOSU'!$A:$A,A7,'KAPASİTE TABLOSU'!$D:$D,"KIZ")</f>
        <v>0</v>
      </c>
      <c r="C7" s="49">
        <f>COUNTIFS('KAPASİTE TABLOSU'!$A:$A,A7,'KAPASİTE TABLOSU'!$D:$D,"ERKEK")</f>
        <v>0</v>
      </c>
      <c r="D7" s="49">
        <f>COUNTIFS('KAPASİTE TABLOSU'!$A:$A,A7,'KAPASİTE TABLOSU'!$D:$D,"AYRI")</f>
        <v>0</v>
      </c>
      <c r="E7" s="50">
        <f t="shared" si="0"/>
        <v>0</v>
      </c>
      <c r="F7" s="51" t="e">
        <f>SUMIFS('KAPASİTE TABLOSU'!#REF!,'KAPASİTE TABLOSU'!$A:$A,A7,'KAPASİTE TABLOSU'!$D:$D,"KIZ")</f>
        <v>#REF!</v>
      </c>
      <c r="G7" s="52" t="e">
        <f>SUMIFS('KAPASİTE TABLOSU'!#REF!,'KAPASİTE TABLOSU'!$A:$A,A7,'KAPASİTE TABLOSU'!$D:$D,"ERKEK")</f>
        <v>#REF!</v>
      </c>
      <c r="H7" s="52" t="e">
        <f>SUMIFS('KAPASİTE TABLOSU'!#REF!,'KAPASİTE TABLOSU'!$A:$A,A7,'KAPASİTE TABLOSU'!$D:$D,"AYRI")</f>
        <v>#REF!</v>
      </c>
      <c r="I7" s="53" t="e">
        <f t="shared" si="1"/>
        <v>#REF!</v>
      </c>
    </row>
    <row r="8" spans="1:9" x14ac:dyDescent="0.25">
      <c r="A8" s="47" t="s">
        <v>169</v>
      </c>
      <c r="B8" s="48">
        <f>COUNTIFS('KAPASİTE TABLOSU'!$A:$A,A8,'KAPASİTE TABLOSU'!$D:$D,"KIZ")</f>
        <v>0</v>
      </c>
      <c r="C8" s="49">
        <f>COUNTIFS('KAPASİTE TABLOSU'!$A:$A,A8,'KAPASİTE TABLOSU'!$D:$D,"ERKEK")</f>
        <v>0</v>
      </c>
      <c r="D8" s="49">
        <f>COUNTIFS('KAPASİTE TABLOSU'!$A:$A,A8,'KAPASİTE TABLOSU'!$D:$D,"AYRI")</f>
        <v>0</v>
      </c>
      <c r="E8" s="50">
        <f t="shared" si="0"/>
        <v>0</v>
      </c>
      <c r="F8" s="51" t="e">
        <f>SUMIFS('KAPASİTE TABLOSU'!#REF!,'KAPASİTE TABLOSU'!$A:$A,A8,'KAPASİTE TABLOSU'!$D:$D,"KIZ")</f>
        <v>#REF!</v>
      </c>
      <c r="G8" s="52" t="e">
        <f>SUMIFS('KAPASİTE TABLOSU'!#REF!,'KAPASİTE TABLOSU'!$A:$A,A8,'KAPASİTE TABLOSU'!$D:$D,"ERKEK")</f>
        <v>#REF!</v>
      </c>
      <c r="H8" s="52" t="e">
        <f>SUMIFS('KAPASİTE TABLOSU'!#REF!,'KAPASİTE TABLOSU'!$A:$A,A8,'KAPASİTE TABLOSU'!$D:$D,"AYRI")</f>
        <v>#REF!</v>
      </c>
      <c r="I8" s="53" t="e">
        <f t="shared" si="1"/>
        <v>#REF!</v>
      </c>
    </row>
    <row r="9" spans="1:9" x14ac:dyDescent="0.25">
      <c r="A9" s="47" t="s">
        <v>17</v>
      </c>
      <c r="B9" s="48">
        <f>COUNTIFS('KAPASİTE TABLOSU'!$A:$A,A9,'KAPASİTE TABLOSU'!$D:$D,"KIZ")</f>
        <v>0</v>
      </c>
      <c r="C9" s="49">
        <f>COUNTIFS('KAPASİTE TABLOSU'!$A:$A,A9,'KAPASİTE TABLOSU'!$D:$D,"ERKEK")</f>
        <v>0</v>
      </c>
      <c r="D9" s="49">
        <f>COUNTIFS('KAPASİTE TABLOSU'!$A:$A,A9,'KAPASİTE TABLOSU'!$D:$D,"AYRI")</f>
        <v>0</v>
      </c>
      <c r="E9" s="50">
        <f t="shared" si="0"/>
        <v>0</v>
      </c>
      <c r="F9" s="51" t="e">
        <f>SUMIFS('KAPASİTE TABLOSU'!#REF!,'KAPASİTE TABLOSU'!$A:$A,A9,'KAPASİTE TABLOSU'!$D:$D,"KIZ")</f>
        <v>#REF!</v>
      </c>
      <c r="G9" s="52" t="e">
        <f>SUMIFS('KAPASİTE TABLOSU'!#REF!,'KAPASİTE TABLOSU'!$A:$A,A9,'KAPASİTE TABLOSU'!$D:$D,"ERKEK")</f>
        <v>#REF!</v>
      </c>
      <c r="H9" s="52" t="e">
        <f>SUMIFS('KAPASİTE TABLOSU'!#REF!,'KAPASİTE TABLOSU'!$A:$A,A9,'KAPASİTE TABLOSU'!$D:$D,"AYRI")</f>
        <v>#REF!</v>
      </c>
      <c r="I9" s="53" t="e">
        <f t="shared" si="1"/>
        <v>#REF!</v>
      </c>
    </row>
    <row r="10" spans="1:9" x14ac:dyDescent="0.25">
      <c r="A10" s="47" t="s">
        <v>25</v>
      </c>
      <c r="B10" s="48">
        <f>COUNTIFS('KAPASİTE TABLOSU'!$A:$A,A10,'KAPASİTE TABLOSU'!$D:$D,"KIZ")</f>
        <v>0</v>
      </c>
      <c r="C10" s="49">
        <f>COUNTIFS('KAPASİTE TABLOSU'!$A:$A,A10,'KAPASİTE TABLOSU'!$D:$D,"ERKEK")</f>
        <v>0</v>
      </c>
      <c r="D10" s="49">
        <f>COUNTIFS('KAPASİTE TABLOSU'!$A:$A,A10,'KAPASİTE TABLOSU'!$D:$D,"AYRI")</f>
        <v>0</v>
      </c>
      <c r="E10" s="50">
        <f t="shared" si="0"/>
        <v>0</v>
      </c>
      <c r="F10" s="51" t="e">
        <f>SUMIFS('KAPASİTE TABLOSU'!#REF!,'KAPASİTE TABLOSU'!$A:$A,A10,'KAPASİTE TABLOSU'!$D:$D,"KIZ")</f>
        <v>#REF!</v>
      </c>
      <c r="G10" s="52" t="e">
        <f>SUMIFS('KAPASİTE TABLOSU'!#REF!,'KAPASİTE TABLOSU'!$A:$A,A10,'KAPASİTE TABLOSU'!$D:$D,"ERKEK")</f>
        <v>#REF!</v>
      </c>
      <c r="H10" s="52" t="e">
        <f>SUMIFS('KAPASİTE TABLOSU'!#REF!,'KAPASİTE TABLOSU'!$A:$A,A10,'KAPASİTE TABLOSU'!$D:$D,"AYRI")</f>
        <v>#REF!</v>
      </c>
      <c r="I10" s="53" t="e">
        <f t="shared" si="1"/>
        <v>#REF!</v>
      </c>
    </row>
    <row r="11" spans="1:9" x14ac:dyDescent="0.25">
      <c r="A11" s="47" t="s">
        <v>93</v>
      </c>
      <c r="B11" s="48">
        <f>COUNTIFS('KAPASİTE TABLOSU'!$A:$A,A11,'KAPASİTE TABLOSU'!$D:$D,"KIZ")</f>
        <v>0</v>
      </c>
      <c r="C11" s="49">
        <f>COUNTIFS('KAPASİTE TABLOSU'!$A:$A,A11,'KAPASİTE TABLOSU'!$D:$D,"ERKEK")</f>
        <v>0</v>
      </c>
      <c r="D11" s="49">
        <f>COUNTIFS('KAPASİTE TABLOSU'!$A:$A,A11,'KAPASİTE TABLOSU'!$D:$D,"AYRI")</f>
        <v>0</v>
      </c>
      <c r="E11" s="50">
        <f t="shared" si="0"/>
        <v>0</v>
      </c>
      <c r="F11" s="51" t="e">
        <f>SUMIFS('KAPASİTE TABLOSU'!#REF!,'KAPASİTE TABLOSU'!$A:$A,A11,'KAPASİTE TABLOSU'!$D:$D,"KIZ")</f>
        <v>#REF!</v>
      </c>
      <c r="G11" s="52" t="e">
        <f>SUMIFS('KAPASİTE TABLOSU'!#REF!,'KAPASİTE TABLOSU'!$A:$A,A11,'KAPASİTE TABLOSU'!$D:$D,"ERKEK")</f>
        <v>#REF!</v>
      </c>
      <c r="H11" s="52" t="e">
        <f>SUMIFS('KAPASİTE TABLOSU'!#REF!,'KAPASİTE TABLOSU'!$A:$A,A11,'KAPASİTE TABLOSU'!$D:$D,"AYRI")</f>
        <v>#REF!</v>
      </c>
      <c r="I11" s="53" t="e">
        <f t="shared" si="1"/>
        <v>#REF!</v>
      </c>
    </row>
    <row r="12" spans="1:9" x14ac:dyDescent="0.25">
      <c r="A12" s="47" t="s">
        <v>185</v>
      </c>
      <c r="B12" s="48">
        <f>COUNTIFS('KAPASİTE TABLOSU'!$A:$A,A12,'KAPASİTE TABLOSU'!$D:$D,"KIZ")</f>
        <v>0</v>
      </c>
      <c r="C12" s="49">
        <f>COUNTIFS('KAPASİTE TABLOSU'!$A:$A,A12,'KAPASİTE TABLOSU'!$D:$D,"ERKEK")</f>
        <v>0</v>
      </c>
      <c r="D12" s="49">
        <f>COUNTIFS('KAPASİTE TABLOSU'!$A:$A,A12,'KAPASİTE TABLOSU'!$D:$D,"AYRI")</f>
        <v>0</v>
      </c>
      <c r="E12" s="50">
        <f t="shared" si="0"/>
        <v>0</v>
      </c>
      <c r="F12" s="51" t="e">
        <f>SUMIFS('KAPASİTE TABLOSU'!#REF!,'KAPASİTE TABLOSU'!$A:$A,A12,'KAPASİTE TABLOSU'!$D:$D,"KIZ")</f>
        <v>#REF!</v>
      </c>
      <c r="G12" s="52" t="e">
        <f>SUMIFS('KAPASİTE TABLOSU'!#REF!,'KAPASİTE TABLOSU'!$A:$A,A12,'KAPASİTE TABLOSU'!$D:$D,"ERKEK")</f>
        <v>#REF!</v>
      </c>
      <c r="H12" s="52" t="e">
        <f>SUMIFS('KAPASİTE TABLOSU'!#REF!,'KAPASİTE TABLOSU'!$A:$A,A12,'KAPASİTE TABLOSU'!$D:$D,"AYRI")</f>
        <v>#REF!</v>
      </c>
      <c r="I12" s="53" t="e">
        <f t="shared" si="1"/>
        <v>#REF!</v>
      </c>
    </row>
    <row r="13" spans="1:9" x14ac:dyDescent="0.25">
      <c r="A13" s="47" t="s">
        <v>61</v>
      </c>
      <c r="B13" s="48">
        <f>COUNTIFS('KAPASİTE TABLOSU'!$A:$A,A13,'KAPASİTE TABLOSU'!$D:$D,"KIZ")</f>
        <v>0</v>
      </c>
      <c r="C13" s="49">
        <f>COUNTIFS('KAPASİTE TABLOSU'!$A:$A,A13,'KAPASİTE TABLOSU'!$D:$D,"ERKEK")</f>
        <v>0</v>
      </c>
      <c r="D13" s="49">
        <f>COUNTIFS('KAPASİTE TABLOSU'!$A:$A,A13,'KAPASİTE TABLOSU'!$D:$D,"AYRI")</f>
        <v>0</v>
      </c>
      <c r="E13" s="50">
        <f t="shared" si="0"/>
        <v>0</v>
      </c>
      <c r="F13" s="51" t="e">
        <f>SUMIFS('KAPASİTE TABLOSU'!#REF!,'KAPASİTE TABLOSU'!$A:$A,A13,'KAPASİTE TABLOSU'!$D:$D,"KIZ")</f>
        <v>#REF!</v>
      </c>
      <c r="G13" s="52" t="e">
        <f>SUMIFS('KAPASİTE TABLOSU'!#REF!,'KAPASİTE TABLOSU'!$A:$A,A13,'KAPASİTE TABLOSU'!$D:$D,"ERKEK")</f>
        <v>#REF!</v>
      </c>
      <c r="H13" s="52" t="e">
        <f>SUMIFS('KAPASİTE TABLOSU'!#REF!,'KAPASİTE TABLOSU'!$A:$A,A13,'KAPASİTE TABLOSU'!$D:$D,"AYRI")</f>
        <v>#REF!</v>
      </c>
      <c r="I13" s="53" t="e">
        <f t="shared" si="1"/>
        <v>#REF!</v>
      </c>
    </row>
    <row r="14" spans="1:9" x14ac:dyDescent="0.25">
      <c r="A14" s="47" t="s">
        <v>48</v>
      </c>
      <c r="B14" s="48">
        <f>COUNTIFS('KAPASİTE TABLOSU'!$A:$A,A14,'KAPASİTE TABLOSU'!$D:$D,"KIZ")</f>
        <v>0</v>
      </c>
      <c r="C14" s="49">
        <f>COUNTIFS('KAPASİTE TABLOSU'!$A:$A,A14,'KAPASİTE TABLOSU'!$D:$D,"ERKEK")</f>
        <v>0</v>
      </c>
      <c r="D14" s="49">
        <f>COUNTIFS('KAPASİTE TABLOSU'!$A:$A,A14,'KAPASİTE TABLOSU'!$D:$D,"AYRI")</f>
        <v>0</v>
      </c>
      <c r="E14" s="50">
        <f t="shared" si="0"/>
        <v>0</v>
      </c>
      <c r="F14" s="51" t="e">
        <f>SUMIFS('KAPASİTE TABLOSU'!#REF!,'KAPASİTE TABLOSU'!$A:$A,A14,'KAPASİTE TABLOSU'!$D:$D,"KIZ")</f>
        <v>#REF!</v>
      </c>
      <c r="G14" s="52" t="e">
        <f>SUMIFS('KAPASİTE TABLOSU'!#REF!,'KAPASİTE TABLOSU'!$A:$A,A14,'KAPASİTE TABLOSU'!$D:$D,"ERKEK")</f>
        <v>#REF!</v>
      </c>
      <c r="H14" s="52" t="e">
        <f>SUMIFS('KAPASİTE TABLOSU'!#REF!,'KAPASİTE TABLOSU'!$A:$A,A14,'KAPASİTE TABLOSU'!$D:$D,"AYRI")</f>
        <v>#REF!</v>
      </c>
      <c r="I14" s="53" t="e">
        <f t="shared" si="1"/>
        <v>#REF!</v>
      </c>
    </row>
    <row r="15" spans="1:9" x14ac:dyDescent="0.25">
      <c r="A15" s="47" t="s">
        <v>216</v>
      </c>
      <c r="B15" s="48">
        <f>COUNTIFS('KAPASİTE TABLOSU'!$A:$A,A15,'KAPASİTE TABLOSU'!$D:$D,"KIZ")</f>
        <v>0</v>
      </c>
      <c r="C15" s="49">
        <f>COUNTIFS('KAPASİTE TABLOSU'!$A:$A,A15,'KAPASİTE TABLOSU'!$D:$D,"ERKEK")</f>
        <v>0</v>
      </c>
      <c r="D15" s="49">
        <f>COUNTIFS('KAPASİTE TABLOSU'!$A:$A,A15,'KAPASİTE TABLOSU'!$D:$D,"AYRI")</f>
        <v>0</v>
      </c>
      <c r="E15" s="50">
        <f t="shared" si="0"/>
        <v>0</v>
      </c>
      <c r="F15" s="51" t="e">
        <f>SUMIFS('KAPASİTE TABLOSU'!#REF!,'KAPASİTE TABLOSU'!$A:$A,A15,'KAPASİTE TABLOSU'!$D:$D,"KIZ")</f>
        <v>#REF!</v>
      </c>
      <c r="G15" s="52" t="e">
        <f>SUMIFS('KAPASİTE TABLOSU'!#REF!,'KAPASİTE TABLOSU'!$A:$A,A15,'KAPASİTE TABLOSU'!$D:$D,"ERKEK")</f>
        <v>#REF!</v>
      </c>
      <c r="H15" s="52" t="e">
        <f>SUMIFS('KAPASİTE TABLOSU'!#REF!,'KAPASİTE TABLOSU'!$A:$A,A15,'KAPASİTE TABLOSU'!$D:$D,"AYRI")</f>
        <v>#REF!</v>
      </c>
      <c r="I15" s="53" t="e">
        <f t="shared" si="1"/>
        <v>#REF!</v>
      </c>
    </row>
    <row r="16" spans="1:9" x14ac:dyDescent="0.25">
      <c r="A16" s="47" t="s">
        <v>72</v>
      </c>
      <c r="B16" s="48">
        <f>COUNTIFS('KAPASİTE TABLOSU'!$A:$A,A16,'KAPASİTE TABLOSU'!$D:$D,"KIZ")</f>
        <v>0</v>
      </c>
      <c r="C16" s="49">
        <f>COUNTIFS('KAPASİTE TABLOSU'!$A:$A,A16,'KAPASİTE TABLOSU'!$D:$D,"ERKEK")</f>
        <v>0</v>
      </c>
      <c r="D16" s="49">
        <f>COUNTIFS('KAPASİTE TABLOSU'!$A:$A,A16,'KAPASİTE TABLOSU'!$D:$D,"AYRI")</f>
        <v>0</v>
      </c>
      <c r="E16" s="50">
        <f t="shared" si="0"/>
        <v>0</v>
      </c>
      <c r="F16" s="51" t="e">
        <f>SUMIFS('KAPASİTE TABLOSU'!#REF!,'KAPASİTE TABLOSU'!$A:$A,A16,'KAPASİTE TABLOSU'!$D:$D,"KIZ")</f>
        <v>#REF!</v>
      </c>
      <c r="G16" s="52" t="e">
        <f>SUMIFS('KAPASİTE TABLOSU'!#REF!,'KAPASİTE TABLOSU'!$A:$A,A16,'KAPASİTE TABLOSU'!$D:$D,"ERKEK")</f>
        <v>#REF!</v>
      </c>
      <c r="H16" s="52" t="e">
        <f>SUMIFS('KAPASİTE TABLOSU'!#REF!,'KAPASİTE TABLOSU'!$A:$A,A16,'KAPASİTE TABLOSU'!$D:$D,"AYRI")</f>
        <v>#REF!</v>
      </c>
      <c r="I16" s="53" t="e">
        <f t="shared" si="1"/>
        <v>#REF!</v>
      </c>
    </row>
    <row r="17" spans="1:9" x14ac:dyDescent="0.25">
      <c r="A17" s="47" t="s">
        <v>94</v>
      </c>
      <c r="B17" s="48">
        <f>COUNTIFS('KAPASİTE TABLOSU'!$A:$A,A17,'KAPASİTE TABLOSU'!$D:$D,"KIZ")</f>
        <v>0</v>
      </c>
      <c r="C17" s="49">
        <f>COUNTIFS('KAPASİTE TABLOSU'!$A:$A,A17,'KAPASİTE TABLOSU'!$D:$D,"ERKEK")</f>
        <v>0</v>
      </c>
      <c r="D17" s="49">
        <f>COUNTIFS('KAPASİTE TABLOSU'!$A:$A,A17,'KAPASİTE TABLOSU'!$D:$D,"AYRI")</f>
        <v>0</v>
      </c>
      <c r="E17" s="50">
        <f t="shared" si="0"/>
        <v>0</v>
      </c>
      <c r="F17" s="51" t="e">
        <f>SUMIFS('KAPASİTE TABLOSU'!#REF!,'KAPASİTE TABLOSU'!$A:$A,A17,'KAPASİTE TABLOSU'!$D:$D,"KIZ")</f>
        <v>#REF!</v>
      </c>
      <c r="G17" s="52" t="e">
        <f>SUMIFS('KAPASİTE TABLOSU'!#REF!,'KAPASİTE TABLOSU'!$A:$A,A17,'KAPASİTE TABLOSU'!$D:$D,"ERKEK")</f>
        <v>#REF!</v>
      </c>
      <c r="H17" s="52" t="e">
        <f>SUMIFS('KAPASİTE TABLOSU'!#REF!,'KAPASİTE TABLOSU'!$A:$A,A17,'KAPASİTE TABLOSU'!$D:$D,"AYRI")</f>
        <v>#REF!</v>
      </c>
      <c r="I17" s="53" t="e">
        <f t="shared" si="1"/>
        <v>#REF!</v>
      </c>
    </row>
    <row r="18" spans="1:9" x14ac:dyDescent="0.25">
      <c r="A18" s="47" t="s">
        <v>107</v>
      </c>
      <c r="B18" s="48">
        <f>COUNTIFS('KAPASİTE TABLOSU'!$A:$A,A18,'KAPASİTE TABLOSU'!$D:$D,"KIZ")</f>
        <v>0</v>
      </c>
      <c r="C18" s="49">
        <f>COUNTIFS('KAPASİTE TABLOSU'!$A:$A,A18,'KAPASİTE TABLOSU'!$D:$D,"ERKEK")</f>
        <v>0</v>
      </c>
      <c r="D18" s="49">
        <f>COUNTIFS('KAPASİTE TABLOSU'!$A:$A,A18,'KAPASİTE TABLOSU'!$D:$D,"AYRI")</f>
        <v>0</v>
      </c>
      <c r="E18" s="50">
        <f t="shared" si="0"/>
        <v>0</v>
      </c>
      <c r="F18" s="51" t="e">
        <f>SUMIFS('KAPASİTE TABLOSU'!#REF!,'KAPASİTE TABLOSU'!$A:$A,A18,'KAPASİTE TABLOSU'!$D:$D,"KIZ")</f>
        <v>#REF!</v>
      </c>
      <c r="G18" s="52" t="e">
        <f>SUMIFS('KAPASİTE TABLOSU'!#REF!,'KAPASİTE TABLOSU'!$A:$A,A18,'KAPASİTE TABLOSU'!$D:$D,"ERKEK")</f>
        <v>#REF!</v>
      </c>
      <c r="H18" s="52" t="e">
        <f>SUMIFS('KAPASİTE TABLOSU'!#REF!,'KAPASİTE TABLOSU'!$A:$A,A18,'KAPASİTE TABLOSU'!$D:$D,"AYRI")</f>
        <v>#REF!</v>
      </c>
      <c r="I18" s="53" t="e">
        <f t="shared" si="1"/>
        <v>#REF!</v>
      </c>
    </row>
    <row r="19" spans="1:9" x14ac:dyDescent="0.25">
      <c r="A19" s="47" t="s">
        <v>73</v>
      </c>
      <c r="B19" s="48">
        <f>COUNTIFS('KAPASİTE TABLOSU'!$A:$A,A19,'KAPASİTE TABLOSU'!$D:$D,"KIZ")</f>
        <v>0</v>
      </c>
      <c r="C19" s="49">
        <f>COUNTIFS('KAPASİTE TABLOSU'!$A:$A,A19,'KAPASİTE TABLOSU'!$D:$D,"ERKEK")</f>
        <v>0</v>
      </c>
      <c r="D19" s="49">
        <f>COUNTIFS('KAPASİTE TABLOSU'!$A:$A,A19,'KAPASİTE TABLOSU'!$D:$D,"AYRI")</f>
        <v>0</v>
      </c>
      <c r="E19" s="50">
        <f t="shared" si="0"/>
        <v>0</v>
      </c>
      <c r="F19" s="51" t="e">
        <f>SUMIFS('KAPASİTE TABLOSU'!#REF!,'KAPASİTE TABLOSU'!$A:$A,A19,'KAPASİTE TABLOSU'!$D:$D,"KIZ")</f>
        <v>#REF!</v>
      </c>
      <c r="G19" s="52" t="e">
        <f>SUMIFS('KAPASİTE TABLOSU'!#REF!,'KAPASİTE TABLOSU'!$A:$A,A19,'KAPASİTE TABLOSU'!$D:$D,"ERKEK")</f>
        <v>#REF!</v>
      </c>
      <c r="H19" s="52" t="e">
        <f>SUMIFS('KAPASİTE TABLOSU'!#REF!,'KAPASİTE TABLOSU'!$A:$A,A19,'KAPASİTE TABLOSU'!$D:$D,"AYRI")</f>
        <v>#REF!</v>
      </c>
      <c r="I19" s="53" t="e">
        <f t="shared" si="1"/>
        <v>#REF!</v>
      </c>
    </row>
    <row r="20" spans="1:9" x14ac:dyDescent="0.25">
      <c r="A20" s="47" t="s">
        <v>204</v>
      </c>
      <c r="B20" s="48">
        <f>COUNTIFS('KAPASİTE TABLOSU'!$A:$A,A20,'KAPASİTE TABLOSU'!$D:$D,"KIZ")</f>
        <v>0</v>
      </c>
      <c r="C20" s="49">
        <f>COUNTIFS('KAPASİTE TABLOSU'!$A:$A,A20,'KAPASİTE TABLOSU'!$D:$D,"ERKEK")</f>
        <v>0</v>
      </c>
      <c r="D20" s="49">
        <f>COUNTIFS('KAPASİTE TABLOSU'!$A:$A,A20,'KAPASİTE TABLOSU'!$D:$D,"AYRI")</f>
        <v>0</v>
      </c>
      <c r="E20" s="50">
        <f t="shared" si="0"/>
        <v>0</v>
      </c>
      <c r="F20" s="51" t="e">
        <f>SUMIFS('KAPASİTE TABLOSU'!#REF!,'KAPASİTE TABLOSU'!$A:$A,A20,'KAPASİTE TABLOSU'!$D:$D,"KIZ")</f>
        <v>#REF!</v>
      </c>
      <c r="G20" s="52" t="e">
        <f>SUMIFS('KAPASİTE TABLOSU'!#REF!,'KAPASİTE TABLOSU'!$A:$A,A20,'KAPASİTE TABLOSU'!$D:$D,"ERKEK")</f>
        <v>#REF!</v>
      </c>
      <c r="H20" s="52" t="e">
        <f>SUMIFS('KAPASİTE TABLOSU'!#REF!,'KAPASİTE TABLOSU'!$A:$A,A20,'KAPASİTE TABLOSU'!$D:$D,"AYRI")</f>
        <v>#REF!</v>
      </c>
      <c r="I20" s="53" t="e">
        <f t="shared" si="1"/>
        <v>#REF!</v>
      </c>
    </row>
    <row r="21" spans="1:9" x14ac:dyDescent="0.25">
      <c r="A21" s="47" t="s">
        <v>35</v>
      </c>
      <c r="B21" s="48">
        <f>COUNTIFS('KAPASİTE TABLOSU'!$A:$A,A21,'KAPASİTE TABLOSU'!$D:$D,"KIZ")</f>
        <v>0</v>
      </c>
      <c r="C21" s="49">
        <f>COUNTIFS('KAPASİTE TABLOSU'!$A:$A,A21,'KAPASİTE TABLOSU'!$D:$D,"ERKEK")</f>
        <v>0</v>
      </c>
      <c r="D21" s="49">
        <f>COUNTIFS('KAPASİTE TABLOSU'!$A:$A,A21,'KAPASİTE TABLOSU'!$D:$D,"AYRI")</f>
        <v>0</v>
      </c>
      <c r="E21" s="50">
        <f t="shared" si="0"/>
        <v>0</v>
      </c>
      <c r="F21" s="51" t="e">
        <f>SUMIFS('KAPASİTE TABLOSU'!#REF!,'KAPASİTE TABLOSU'!$A:$A,A21,'KAPASİTE TABLOSU'!$D:$D,"KIZ")</f>
        <v>#REF!</v>
      </c>
      <c r="G21" s="52" t="e">
        <f>SUMIFS('KAPASİTE TABLOSU'!#REF!,'KAPASİTE TABLOSU'!$A:$A,A21,'KAPASİTE TABLOSU'!$D:$D,"ERKEK")</f>
        <v>#REF!</v>
      </c>
      <c r="H21" s="52" t="e">
        <f>SUMIFS('KAPASİTE TABLOSU'!#REF!,'KAPASİTE TABLOSU'!$A:$A,A21,'KAPASİTE TABLOSU'!$D:$D,"AYRI")</f>
        <v>#REF!</v>
      </c>
      <c r="I21" s="53" t="e">
        <f t="shared" si="1"/>
        <v>#REF!</v>
      </c>
    </row>
    <row r="22" spans="1:9" x14ac:dyDescent="0.25">
      <c r="A22" s="47" t="s">
        <v>28</v>
      </c>
      <c r="B22" s="48">
        <f>COUNTIFS('KAPASİTE TABLOSU'!$A:$A,A22,'KAPASİTE TABLOSU'!$D:$D,"KIZ")</f>
        <v>0</v>
      </c>
      <c r="C22" s="49">
        <f>COUNTIFS('KAPASİTE TABLOSU'!$A:$A,A22,'KAPASİTE TABLOSU'!$D:$D,"ERKEK")</f>
        <v>0</v>
      </c>
      <c r="D22" s="49">
        <f>COUNTIFS('KAPASİTE TABLOSU'!$A:$A,A22,'KAPASİTE TABLOSU'!$D:$D,"AYRI")</f>
        <v>0</v>
      </c>
      <c r="E22" s="50">
        <f t="shared" si="0"/>
        <v>0</v>
      </c>
      <c r="F22" s="51" t="e">
        <f>SUMIFS('KAPASİTE TABLOSU'!#REF!,'KAPASİTE TABLOSU'!$A:$A,A22,'KAPASİTE TABLOSU'!$D:$D,"KIZ")</f>
        <v>#REF!</v>
      </c>
      <c r="G22" s="52" t="e">
        <f>SUMIFS('KAPASİTE TABLOSU'!#REF!,'KAPASİTE TABLOSU'!$A:$A,A22,'KAPASİTE TABLOSU'!$D:$D,"ERKEK")</f>
        <v>#REF!</v>
      </c>
      <c r="H22" s="52" t="e">
        <f>SUMIFS('KAPASİTE TABLOSU'!#REF!,'KAPASİTE TABLOSU'!$A:$A,A22,'KAPASİTE TABLOSU'!$D:$D,"AYRI")</f>
        <v>#REF!</v>
      </c>
      <c r="I22" s="53" t="e">
        <f t="shared" si="1"/>
        <v>#REF!</v>
      </c>
    </row>
    <row r="23" spans="1:9" x14ac:dyDescent="0.25">
      <c r="A23" s="47" t="s">
        <v>47</v>
      </c>
      <c r="B23" s="48">
        <f>COUNTIFS('KAPASİTE TABLOSU'!$A:$A,A23,'KAPASİTE TABLOSU'!$D:$D,"KIZ")</f>
        <v>0</v>
      </c>
      <c r="C23" s="49">
        <f>COUNTIFS('KAPASİTE TABLOSU'!$A:$A,A23,'KAPASİTE TABLOSU'!$D:$D,"ERKEK")</f>
        <v>0</v>
      </c>
      <c r="D23" s="49">
        <f>COUNTIFS('KAPASİTE TABLOSU'!$A:$A,A23,'KAPASİTE TABLOSU'!$D:$D,"AYRI")</f>
        <v>0</v>
      </c>
      <c r="E23" s="50">
        <f t="shared" si="0"/>
        <v>0</v>
      </c>
      <c r="F23" s="51" t="e">
        <f>SUMIFS('KAPASİTE TABLOSU'!#REF!,'KAPASİTE TABLOSU'!$A:$A,A23,'KAPASİTE TABLOSU'!$D:$D,"KIZ")</f>
        <v>#REF!</v>
      </c>
      <c r="G23" s="52" t="e">
        <f>SUMIFS('KAPASİTE TABLOSU'!#REF!,'KAPASİTE TABLOSU'!$A:$A,A23,'KAPASİTE TABLOSU'!$D:$D,"ERKEK")</f>
        <v>#REF!</v>
      </c>
      <c r="H23" s="52" t="e">
        <f>SUMIFS('KAPASİTE TABLOSU'!#REF!,'KAPASİTE TABLOSU'!$A:$A,A23,'KAPASİTE TABLOSU'!$D:$D,"AYRI")</f>
        <v>#REF!</v>
      </c>
      <c r="I23" s="53" t="e">
        <f t="shared" si="1"/>
        <v>#REF!</v>
      </c>
    </row>
    <row r="24" spans="1:9" x14ac:dyDescent="0.25">
      <c r="A24" s="47" t="s">
        <v>52</v>
      </c>
      <c r="B24" s="48">
        <f>COUNTIFS('KAPASİTE TABLOSU'!$A:$A,A24,'KAPASİTE TABLOSU'!$D:$D,"KIZ")</f>
        <v>0</v>
      </c>
      <c r="C24" s="49">
        <f>COUNTIFS('KAPASİTE TABLOSU'!$A:$A,A24,'KAPASİTE TABLOSU'!$D:$D,"ERKEK")</f>
        <v>0</v>
      </c>
      <c r="D24" s="49">
        <f>COUNTIFS('KAPASİTE TABLOSU'!$A:$A,A24,'KAPASİTE TABLOSU'!$D:$D,"AYRI")</f>
        <v>0</v>
      </c>
      <c r="E24" s="50">
        <f t="shared" si="0"/>
        <v>0</v>
      </c>
      <c r="F24" s="51" t="e">
        <f>SUMIFS('KAPASİTE TABLOSU'!#REF!,'KAPASİTE TABLOSU'!$A:$A,A24,'KAPASİTE TABLOSU'!$D:$D,"KIZ")</f>
        <v>#REF!</v>
      </c>
      <c r="G24" s="52" t="e">
        <f>SUMIFS('KAPASİTE TABLOSU'!#REF!,'KAPASİTE TABLOSU'!$A:$A,A24,'KAPASİTE TABLOSU'!$D:$D,"ERKEK")</f>
        <v>#REF!</v>
      </c>
      <c r="H24" s="52" t="e">
        <f>SUMIFS('KAPASİTE TABLOSU'!#REF!,'KAPASİTE TABLOSU'!$A:$A,A24,'KAPASİTE TABLOSU'!$D:$D,"AYRI")</f>
        <v>#REF!</v>
      </c>
      <c r="I24" s="53" t="e">
        <f t="shared" si="1"/>
        <v>#REF!</v>
      </c>
    </row>
    <row r="25" spans="1:9" x14ac:dyDescent="0.25">
      <c r="A25" s="47" t="s">
        <v>21</v>
      </c>
      <c r="B25" s="48">
        <f>COUNTIFS('KAPASİTE TABLOSU'!$A:$A,A25,'KAPASİTE TABLOSU'!$D:$D,"KIZ")</f>
        <v>0</v>
      </c>
      <c r="C25" s="49">
        <f>COUNTIFS('KAPASİTE TABLOSU'!$A:$A,A25,'KAPASİTE TABLOSU'!$D:$D,"ERKEK")</f>
        <v>0</v>
      </c>
      <c r="D25" s="49">
        <f>COUNTIFS('KAPASİTE TABLOSU'!$A:$A,A25,'KAPASİTE TABLOSU'!$D:$D,"AYRI")</f>
        <v>0</v>
      </c>
      <c r="E25" s="50">
        <f t="shared" si="0"/>
        <v>0</v>
      </c>
      <c r="F25" s="51" t="e">
        <f>SUMIFS('KAPASİTE TABLOSU'!#REF!,'KAPASİTE TABLOSU'!$A:$A,A25,'KAPASİTE TABLOSU'!$D:$D,"KIZ")</f>
        <v>#REF!</v>
      </c>
      <c r="G25" s="52" t="e">
        <f>SUMIFS('KAPASİTE TABLOSU'!#REF!,'KAPASİTE TABLOSU'!$A:$A,A25,'KAPASİTE TABLOSU'!$D:$D,"ERKEK")</f>
        <v>#REF!</v>
      </c>
      <c r="H25" s="52" t="e">
        <f>SUMIFS('KAPASİTE TABLOSU'!#REF!,'KAPASİTE TABLOSU'!$A:$A,A25,'KAPASİTE TABLOSU'!$D:$D,"AYRI")</f>
        <v>#REF!</v>
      </c>
      <c r="I25" s="53" t="e">
        <f t="shared" si="1"/>
        <v>#REF!</v>
      </c>
    </row>
    <row r="26" spans="1:9" x14ac:dyDescent="0.25">
      <c r="A26" s="47" t="s">
        <v>171</v>
      </c>
      <c r="B26" s="48">
        <f>COUNTIFS('KAPASİTE TABLOSU'!$A:$A,A26,'KAPASİTE TABLOSU'!$D:$D,"KIZ")</f>
        <v>0</v>
      </c>
      <c r="C26" s="49">
        <f>COUNTIFS('KAPASİTE TABLOSU'!$A:$A,A26,'KAPASİTE TABLOSU'!$D:$D,"ERKEK")</f>
        <v>0</v>
      </c>
      <c r="D26" s="49">
        <f>COUNTIFS('KAPASİTE TABLOSU'!$A:$A,A26,'KAPASİTE TABLOSU'!$D:$D,"AYRI")</f>
        <v>0</v>
      </c>
      <c r="E26" s="50">
        <f t="shared" si="0"/>
        <v>0</v>
      </c>
      <c r="F26" s="51" t="e">
        <f>SUMIFS('KAPASİTE TABLOSU'!#REF!,'KAPASİTE TABLOSU'!$A:$A,A26,'KAPASİTE TABLOSU'!$D:$D,"KIZ")</f>
        <v>#REF!</v>
      </c>
      <c r="G26" s="52" t="e">
        <f>SUMIFS('KAPASİTE TABLOSU'!#REF!,'KAPASİTE TABLOSU'!$A:$A,A26,'KAPASİTE TABLOSU'!$D:$D,"ERKEK")</f>
        <v>#REF!</v>
      </c>
      <c r="H26" s="52" t="e">
        <f>SUMIFS('KAPASİTE TABLOSU'!#REF!,'KAPASİTE TABLOSU'!$A:$A,A26,'KAPASİTE TABLOSU'!$D:$D,"AYRI")</f>
        <v>#REF!</v>
      </c>
      <c r="I26" s="53" t="e">
        <f t="shared" si="1"/>
        <v>#REF!</v>
      </c>
    </row>
    <row r="27" spans="1:9" x14ac:dyDescent="0.25">
      <c r="A27" s="47" t="s">
        <v>56</v>
      </c>
      <c r="B27" s="48">
        <f>COUNTIFS('KAPASİTE TABLOSU'!$A:$A,A27,'KAPASİTE TABLOSU'!$D:$D,"KIZ")</f>
        <v>0</v>
      </c>
      <c r="C27" s="49">
        <f>COUNTIFS('KAPASİTE TABLOSU'!$A:$A,A27,'KAPASİTE TABLOSU'!$D:$D,"ERKEK")</f>
        <v>0</v>
      </c>
      <c r="D27" s="49">
        <f>COUNTIFS('KAPASİTE TABLOSU'!$A:$A,A27,'KAPASİTE TABLOSU'!$D:$D,"AYRI")</f>
        <v>0</v>
      </c>
      <c r="E27" s="50">
        <f t="shared" si="0"/>
        <v>0</v>
      </c>
      <c r="F27" s="51" t="e">
        <f>SUMIFS('KAPASİTE TABLOSU'!#REF!,'KAPASİTE TABLOSU'!$A:$A,A27,'KAPASİTE TABLOSU'!$D:$D,"KIZ")</f>
        <v>#REF!</v>
      </c>
      <c r="G27" s="52" t="e">
        <f>SUMIFS('KAPASİTE TABLOSU'!#REF!,'KAPASİTE TABLOSU'!$A:$A,A27,'KAPASİTE TABLOSU'!$D:$D,"ERKEK")</f>
        <v>#REF!</v>
      </c>
      <c r="H27" s="52" t="e">
        <f>SUMIFS('KAPASİTE TABLOSU'!#REF!,'KAPASİTE TABLOSU'!$A:$A,A27,'KAPASİTE TABLOSU'!$D:$D,"AYRI")</f>
        <v>#REF!</v>
      </c>
      <c r="I27" s="53" t="e">
        <f t="shared" si="1"/>
        <v>#REF!</v>
      </c>
    </row>
    <row r="28" spans="1:9" x14ac:dyDescent="0.25">
      <c r="A28" s="47" t="s">
        <v>71</v>
      </c>
      <c r="B28" s="48">
        <f>COUNTIFS('KAPASİTE TABLOSU'!$A:$A,A28,'KAPASİTE TABLOSU'!$D:$D,"KIZ")</f>
        <v>0</v>
      </c>
      <c r="C28" s="49">
        <f>COUNTIFS('KAPASİTE TABLOSU'!$A:$A,A28,'KAPASİTE TABLOSU'!$D:$D,"ERKEK")</f>
        <v>0</v>
      </c>
      <c r="D28" s="49">
        <f>COUNTIFS('KAPASİTE TABLOSU'!$A:$A,A28,'KAPASİTE TABLOSU'!$D:$D,"AYRI")</f>
        <v>0</v>
      </c>
      <c r="E28" s="50">
        <f t="shared" si="0"/>
        <v>0</v>
      </c>
      <c r="F28" s="51" t="e">
        <f>SUMIFS('KAPASİTE TABLOSU'!#REF!,'KAPASİTE TABLOSU'!$A:$A,A28,'KAPASİTE TABLOSU'!$D:$D,"KIZ")</f>
        <v>#REF!</v>
      </c>
      <c r="G28" s="52" t="e">
        <f>SUMIFS('KAPASİTE TABLOSU'!#REF!,'KAPASİTE TABLOSU'!$A:$A,A28,'KAPASİTE TABLOSU'!$D:$D,"ERKEK")</f>
        <v>#REF!</v>
      </c>
      <c r="H28" s="52" t="e">
        <f>SUMIFS('KAPASİTE TABLOSU'!#REF!,'KAPASİTE TABLOSU'!$A:$A,A28,'KAPASİTE TABLOSU'!$D:$D,"AYRI")</f>
        <v>#REF!</v>
      </c>
      <c r="I28" s="53" t="e">
        <f t="shared" si="1"/>
        <v>#REF!</v>
      </c>
    </row>
    <row r="29" spans="1:9" x14ac:dyDescent="0.25">
      <c r="A29" s="47" t="s">
        <v>38</v>
      </c>
      <c r="B29" s="48">
        <f>COUNTIFS('KAPASİTE TABLOSU'!$A:$A,A29,'KAPASİTE TABLOSU'!$D:$D,"KIZ")</f>
        <v>0</v>
      </c>
      <c r="C29" s="49">
        <f>COUNTIFS('KAPASİTE TABLOSU'!$A:$A,A29,'KAPASİTE TABLOSU'!$D:$D,"ERKEK")</f>
        <v>0</v>
      </c>
      <c r="D29" s="49">
        <f>COUNTIFS('KAPASİTE TABLOSU'!$A:$A,A29,'KAPASİTE TABLOSU'!$D:$D,"AYRI")</f>
        <v>0</v>
      </c>
      <c r="E29" s="50">
        <f t="shared" si="0"/>
        <v>0</v>
      </c>
      <c r="F29" s="51" t="e">
        <f>SUMIFS('KAPASİTE TABLOSU'!#REF!,'KAPASİTE TABLOSU'!$A:$A,A29,'KAPASİTE TABLOSU'!$D:$D,"KIZ")</f>
        <v>#REF!</v>
      </c>
      <c r="G29" s="52" t="e">
        <f>SUMIFS('KAPASİTE TABLOSU'!#REF!,'KAPASİTE TABLOSU'!$A:$A,A29,'KAPASİTE TABLOSU'!$D:$D,"ERKEK")</f>
        <v>#REF!</v>
      </c>
      <c r="H29" s="52" t="e">
        <f>SUMIFS('KAPASİTE TABLOSU'!#REF!,'KAPASİTE TABLOSU'!$A:$A,A29,'KAPASİTE TABLOSU'!$D:$D,"AYRI")</f>
        <v>#REF!</v>
      </c>
      <c r="I29" s="53" t="e">
        <f t="shared" si="1"/>
        <v>#REF!</v>
      </c>
    </row>
    <row r="30" spans="1:9" x14ac:dyDescent="0.25">
      <c r="A30" s="47" t="s">
        <v>76</v>
      </c>
      <c r="B30" s="48">
        <f>COUNTIFS('KAPASİTE TABLOSU'!$A:$A,A30,'KAPASİTE TABLOSU'!$D:$D,"KIZ")</f>
        <v>0</v>
      </c>
      <c r="C30" s="49">
        <f>COUNTIFS('KAPASİTE TABLOSU'!$A:$A,A30,'KAPASİTE TABLOSU'!$D:$D,"ERKEK")</f>
        <v>0</v>
      </c>
      <c r="D30" s="49">
        <f>COUNTIFS('KAPASİTE TABLOSU'!$A:$A,A30,'KAPASİTE TABLOSU'!$D:$D,"AYRI")</f>
        <v>0</v>
      </c>
      <c r="E30" s="50">
        <f t="shared" si="0"/>
        <v>0</v>
      </c>
      <c r="F30" s="51" t="e">
        <f>SUMIFS('KAPASİTE TABLOSU'!#REF!,'KAPASİTE TABLOSU'!$A:$A,A30,'KAPASİTE TABLOSU'!$D:$D,"KIZ")</f>
        <v>#REF!</v>
      </c>
      <c r="G30" s="52" t="e">
        <f>SUMIFS('KAPASİTE TABLOSU'!#REF!,'KAPASİTE TABLOSU'!$A:$A,A30,'KAPASİTE TABLOSU'!$D:$D,"ERKEK")</f>
        <v>#REF!</v>
      </c>
      <c r="H30" s="52" t="e">
        <f>SUMIFS('KAPASİTE TABLOSU'!#REF!,'KAPASİTE TABLOSU'!$A:$A,A30,'KAPASİTE TABLOSU'!$D:$D,"AYRI")</f>
        <v>#REF!</v>
      </c>
      <c r="I30" s="53" t="e">
        <f t="shared" si="1"/>
        <v>#REF!</v>
      </c>
    </row>
    <row r="31" spans="1:9" x14ac:dyDescent="0.25">
      <c r="A31" s="47" t="s">
        <v>163</v>
      </c>
      <c r="B31" s="48">
        <f>COUNTIFS('KAPASİTE TABLOSU'!$A:$A,A31,'KAPASİTE TABLOSU'!$D:$D,"KIZ")</f>
        <v>0</v>
      </c>
      <c r="C31" s="49">
        <f>COUNTIFS('KAPASİTE TABLOSU'!$A:$A,A31,'KAPASİTE TABLOSU'!$D:$D,"ERKEK")</f>
        <v>0</v>
      </c>
      <c r="D31" s="49">
        <f>COUNTIFS('KAPASİTE TABLOSU'!$A:$A,A31,'KAPASİTE TABLOSU'!$D:$D,"AYRI")</f>
        <v>0</v>
      </c>
      <c r="E31" s="50">
        <f t="shared" si="0"/>
        <v>0</v>
      </c>
      <c r="F31" s="51" t="e">
        <f>SUMIFS('KAPASİTE TABLOSU'!#REF!,'KAPASİTE TABLOSU'!$A:$A,A31,'KAPASİTE TABLOSU'!$D:$D,"KIZ")</f>
        <v>#REF!</v>
      </c>
      <c r="G31" s="52" t="e">
        <f>SUMIFS('KAPASİTE TABLOSU'!#REF!,'KAPASİTE TABLOSU'!$A:$A,A31,'KAPASİTE TABLOSU'!$D:$D,"ERKEK")</f>
        <v>#REF!</v>
      </c>
      <c r="H31" s="52" t="e">
        <f>SUMIFS('KAPASİTE TABLOSU'!#REF!,'KAPASİTE TABLOSU'!$A:$A,A31,'KAPASİTE TABLOSU'!$D:$D,"AYRI")</f>
        <v>#REF!</v>
      </c>
      <c r="I31" s="53" t="e">
        <f t="shared" si="1"/>
        <v>#REF!</v>
      </c>
    </row>
    <row r="32" spans="1:9" x14ac:dyDescent="0.25">
      <c r="A32" s="47" t="s">
        <v>95</v>
      </c>
      <c r="B32" s="48">
        <f>COUNTIFS('KAPASİTE TABLOSU'!$A:$A,A32,'KAPASİTE TABLOSU'!$D:$D,"KIZ")</f>
        <v>0</v>
      </c>
      <c r="C32" s="49">
        <f>COUNTIFS('KAPASİTE TABLOSU'!$A:$A,A32,'KAPASİTE TABLOSU'!$D:$D,"ERKEK")</f>
        <v>0</v>
      </c>
      <c r="D32" s="49">
        <f>COUNTIFS('KAPASİTE TABLOSU'!$A:$A,A32,'KAPASİTE TABLOSU'!$D:$D,"AYRI")</f>
        <v>0</v>
      </c>
      <c r="E32" s="50">
        <f t="shared" si="0"/>
        <v>0</v>
      </c>
      <c r="F32" s="51" t="e">
        <f>SUMIFS('KAPASİTE TABLOSU'!#REF!,'KAPASİTE TABLOSU'!$A:$A,A32,'KAPASİTE TABLOSU'!$D:$D,"KIZ")</f>
        <v>#REF!</v>
      </c>
      <c r="G32" s="52" t="e">
        <f>SUMIFS('KAPASİTE TABLOSU'!#REF!,'KAPASİTE TABLOSU'!$A:$A,A32,'KAPASİTE TABLOSU'!$D:$D,"ERKEK")</f>
        <v>#REF!</v>
      </c>
      <c r="H32" s="52" t="e">
        <f>SUMIFS('KAPASİTE TABLOSU'!#REF!,'KAPASİTE TABLOSU'!$A:$A,A32,'KAPASİTE TABLOSU'!$D:$D,"AYRI")</f>
        <v>#REF!</v>
      </c>
      <c r="I32" s="53" t="e">
        <f t="shared" si="1"/>
        <v>#REF!</v>
      </c>
    </row>
    <row r="33" spans="1:9" x14ac:dyDescent="0.25">
      <c r="A33" s="47" t="s">
        <v>87</v>
      </c>
      <c r="B33" s="48">
        <f>COUNTIFS('KAPASİTE TABLOSU'!$A:$A,A33,'KAPASİTE TABLOSU'!$D:$D,"KIZ")</f>
        <v>0</v>
      </c>
      <c r="C33" s="49">
        <f>COUNTIFS('KAPASİTE TABLOSU'!$A:$A,A33,'KAPASİTE TABLOSU'!$D:$D,"ERKEK")</f>
        <v>0</v>
      </c>
      <c r="D33" s="49">
        <f>COUNTIFS('KAPASİTE TABLOSU'!$A:$A,A33,'KAPASİTE TABLOSU'!$D:$D,"AYRI")</f>
        <v>0</v>
      </c>
      <c r="E33" s="50">
        <f t="shared" si="0"/>
        <v>0</v>
      </c>
      <c r="F33" s="51" t="e">
        <f>SUMIFS('KAPASİTE TABLOSU'!#REF!,'KAPASİTE TABLOSU'!$A:$A,A33,'KAPASİTE TABLOSU'!$D:$D,"KIZ")</f>
        <v>#REF!</v>
      </c>
      <c r="G33" s="52" t="e">
        <f>SUMIFS('KAPASİTE TABLOSU'!#REF!,'KAPASİTE TABLOSU'!$A:$A,A33,'KAPASİTE TABLOSU'!$D:$D,"ERKEK")</f>
        <v>#REF!</v>
      </c>
      <c r="H33" s="52" t="e">
        <f>SUMIFS('KAPASİTE TABLOSU'!#REF!,'KAPASİTE TABLOSU'!$A:$A,A33,'KAPASİTE TABLOSU'!$D:$D,"AYRI")</f>
        <v>#REF!</v>
      </c>
      <c r="I33" s="53" t="e">
        <f t="shared" si="1"/>
        <v>#REF!</v>
      </c>
    </row>
    <row r="34" spans="1:9" x14ac:dyDescent="0.25">
      <c r="A34" s="47" t="s">
        <v>102</v>
      </c>
      <c r="B34" s="48">
        <f>COUNTIFS('KAPASİTE TABLOSU'!$A:$A,A34,'KAPASİTE TABLOSU'!$D:$D,"KIZ")</f>
        <v>0</v>
      </c>
      <c r="C34" s="49">
        <f>COUNTIFS('KAPASİTE TABLOSU'!$A:$A,A34,'KAPASİTE TABLOSU'!$D:$D,"ERKEK")</f>
        <v>0</v>
      </c>
      <c r="D34" s="49">
        <f>COUNTIFS('KAPASİTE TABLOSU'!$A:$A,A34,'KAPASİTE TABLOSU'!$D:$D,"AYRI")</f>
        <v>0</v>
      </c>
      <c r="E34" s="50">
        <f t="shared" si="0"/>
        <v>0</v>
      </c>
      <c r="F34" s="51" t="e">
        <f>SUMIFS('KAPASİTE TABLOSU'!#REF!,'KAPASİTE TABLOSU'!$A:$A,A34,'KAPASİTE TABLOSU'!$D:$D,"KIZ")</f>
        <v>#REF!</v>
      </c>
      <c r="G34" s="52" t="e">
        <f>SUMIFS('KAPASİTE TABLOSU'!#REF!,'KAPASİTE TABLOSU'!$A:$A,A34,'KAPASİTE TABLOSU'!$D:$D,"ERKEK")</f>
        <v>#REF!</v>
      </c>
      <c r="H34" s="52" t="e">
        <f>SUMIFS('KAPASİTE TABLOSU'!#REF!,'KAPASİTE TABLOSU'!$A:$A,A34,'KAPASİTE TABLOSU'!$D:$D,"AYRI")</f>
        <v>#REF!</v>
      </c>
      <c r="I34" s="53" t="e">
        <f t="shared" si="1"/>
        <v>#REF!</v>
      </c>
    </row>
    <row r="35" spans="1:9" x14ac:dyDescent="0.25">
      <c r="A35" s="47" t="s">
        <v>112</v>
      </c>
      <c r="B35" s="48">
        <f>COUNTIFS('KAPASİTE TABLOSU'!$A:$A,A35,'KAPASİTE TABLOSU'!$D:$D,"KIZ")</f>
        <v>0</v>
      </c>
      <c r="C35" s="49">
        <f>COUNTIFS('KAPASİTE TABLOSU'!$A:$A,A35,'KAPASİTE TABLOSU'!$D:$D,"ERKEK")</f>
        <v>0</v>
      </c>
      <c r="D35" s="49">
        <f>COUNTIFS('KAPASİTE TABLOSU'!$A:$A,A35,'KAPASİTE TABLOSU'!$D:$D,"AYRI")</f>
        <v>0</v>
      </c>
      <c r="E35" s="50">
        <f t="shared" si="0"/>
        <v>0</v>
      </c>
      <c r="F35" s="51" t="e">
        <f>SUMIFS('KAPASİTE TABLOSU'!#REF!,'KAPASİTE TABLOSU'!$A:$A,A35,'KAPASİTE TABLOSU'!$D:$D,"KIZ")</f>
        <v>#REF!</v>
      </c>
      <c r="G35" s="52" t="e">
        <f>SUMIFS('KAPASİTE TABLOSU'!#REF!,'KAPASİTE TABLOSU'!$A:$A,A35,'KAPASİTE TABLOSU'!$D:$D,"ERKEK")</f>
        <v>#REF!</v>
      </c>
      <c r="H35" s="52" t="e">
        <f>SUMIFS('KAPASİTE TABLOSU'!#REF!,'KAPASİTE TABLOSU'!$A:$A,A35,'KAPASİTE TABLOSU'!$D:$D,"AYRI")</f>
        <v>#REF!</v>
      </c>
      <c r="I35" s="53" t="e">
        <f t="shared" si="1"/>
        <v>#REF!</v>
      </c>
    </row>
    <row r="36" spans="1:9" x14ac:dyDescent="0.25">
      <c r="A36" s="47" t="s">
        <v>186</v>
      </c>
      <c r="B36" s="48">
        <f>COUNTIFS('KAPASİTE TABLOSU'!$A:$A,A36,'KAPASİTE TABLOSU'!$D:$D,"KIZ")</f>
        <v>0</v>
      </c>
      <c r="C36" s="49">
        <f>COUNTIFS('KAPASİTE TABLOSU'!$A:$A,A36,'KAPASİTE TABLOSU'!$D:$D,"ERKEK")</f>
        <v>0</v>
      </c>
      <c r="D36" s="49">
        <f>COUNTIFS('KAPASİTE TABLOSU'!$A:$A,A36,'KAPASİTE TABLOSU'!$D:$D,"AYRI")</f>
        <v>0</v>
      </c>
      <c r="E36" s="50">
        <f t="shared" si="0"/>
        <v>0</v>
      </c>
      <c r="F36" s="51" t="e">
        <f>SUMIFS('KAPASİTE TABLOSU'!#REF!,'KAPASİTE TABLOSU'!$A:$A,A36,'KAPASİTE TABLOSU'!$D:$D,"KIZ")</f>
        <v>#REF!</v>
      </c>
      <c r="G36" s="52" t="e">
        <f>SUMIFS('KAPASİTE TABLOSU'!#REF!,'KAPASİTE TABLOSU'!$A:$A,A36,'KAPASİTE TABLOSU'!$D:$D,"ERKEK")</f>
        <v>#REF!</v>
      </c>
      <c r="H36" s="52" t="e">
        <f>SUMIFS('KAPASİTE TABLOSU'!#REF!,'KAPASİTE TABLOSU'!$A:$A,A36,'KAPASİTE TABLOSU'!$D:$D,"AYRI")</f>
        <v>#REF!</v>
      </c>
      <c r="I36" s="53" t="e">
        <f t="shared" si="1"/>
        <v>#REF!</v>
      </c>
    </row>
    <row r="37" spans="1:9" x14ac:dyDescent="0.25">
      <c r="A37" s="47" t="s">
        <v>189</v>
      </c>
      <c r="B37" s="48">
        <f>COUNTIFS('KAPASİTE TABLOSU'!$A:$A,A37,'KAPASİTE TABLOSU'!$D:$D,"KIZ")</f>
        <v>0</v>
      </c>
      <c r="C37" s="49">
        <f>COUNTIFS('KAPASİTE TABLOSU'!$A:$A,A37,'KAPASİTE TABLOSU'!$D:$D,"ERKEK")</f>
        <v>0</v>
      </c>
      <c r="D37" s="49">
        <f>COUNTIFS('KAPASİTE TABLOSU'!$A:$A,A37,'KAPASİTE TABLOSU'!$D:$D,"AYRI")</f>
        <v>0</v>
      </c>
      <c r="E37" s="50">
        <f t="shared" si="0"/>
        <v>0</v>
      </c>
      <c r="F37" s="51" t="e">
        <f>SUMIFS('KAPASİTE TABLOSU'!#REF!,'KAPASİTE TABLOSU'!$A:$A,A37,'KAPASİTE TABLOSU'!$D:$D,"KIZ")</f>
        <v>#REF!</v>
      </c>
      <c r="G37" s="52" t="e">
        <f>SUMIFS('KAPASİTE TABLOSU'!#REF!,'KAPASİTE TABLOSU'!$A:$A,A37,'KAPASİTE TABLOSU'!$D:$D,"ERKEK")</f>
        <v>#REF!</v>
      </c>
      <c r="H37" s="52" t="e">
        <f>SUMIFS('KAPASİTE TABLOSU'!#REF!,'KAPASİTE TABLOSU'!$A:$A,A37,'KAPASİTE TABLOSU'!$D:$D,"AYRI")</f>
        <v>#REF!</v>
      </c>
      <c r="I37" s="53" t="e">
        <f t="shared" si="1"/>
        <v>#REF!</v>
      </c>
    </row>
    <row r="38" spans="1:9" x14ac:dyDescent="0.25">
      <c r="A38" s="47" t="s">
        <v>208</v>
      </c>
      <c r="B38" s="48">
        <f>COUNTIFS('KAPASİTE TABLOSU'!$A:$A,A38,'KAPASİTE TABLOSU'!$D:$D,"KIZ")</f>
        <v>0</v>
      </c>
      <c r="C38" s="49">
        <f>COUNTIFS('KAPASİTE TABLOSU'!$A:$A,A38,'KAPASİTE TABLOSU'!$D:$D,"ERKEK")</f>
        <v>0</v>
      </c>
      <c r="D38" s="49">
        <f>COUNTIFS('KAPASİTE TABLOSU'!$A:$A,A38,'KAPASİTE TABLOSU'!$D:$D,"AYRI")</f>
        <v>0</v>
      </c>
      <c r="E38" s="50">
        <f t="shared" si="0"/>
        <v>0</v>
      </c>
      <c r="F38" s="51" t="e">
        <f>SUMIFS('KAPASİTE TABLOSU'!#REF!,'KAPASİTE TABLOSU'!$A:$A,A38,'KAPASİTE TABLOSU'!$D:$D,"KIZ")</f>
        <v>#REF!</v>
      </c>
      <c r="G38" s="52" t="e">
        <f>SUMIFS('KAPASİTE TABLOSU'!#REF!,'KAPASİTE TABLOSU'!$A:$A,A38,'KAPASİTE TABLOSU'!$D:$D,"ERKEK")</f>
        <v>#REF!</v>
      </c>
      <c r="H38" s="52" t="e">
        <f>SUMIFS('KAPASİTE TABLOSU'!#REF!,'KAPASİTE TABLOSU'!$A:$A,A38,'KAPASİTE TABLOSU'!$D:$D,"AYRI")</f>
        <v>#REF!</v>
      </c>
      <c r="I38" s="53" t="e">
        <f t="shared" si="1"/>
        <v>#REF!</v>
      </c>
    </row>
    <row r="39" spans="1:9" x14ac:dyDescent="0.25">
      <c r="A39" s="47" t="s">
        <v>9</v>
      </c>
      <c r="B39" s="48">
        <f>COUNTIFS('KAPASİTE TABLOSU'!$A:$A,A39,'KAPASİTE TABLOSU'!$D:$D,"KIZ")</f>
        <v>0</v>
      </c>
      <c r="C39" s="49">
        <f>COUNTIFS('KAPASİTE TABLOSU'!$A:$A,A39,'KAPASİTE TABLOSU'!$D:$D,"ERKEK")</f>
        <v>0</v>
      </c>
      <c r="D39" s="49">
        <f>COUNTIFS('KAPASİTE TABLOSU'!$A:$A,A39,'KAPASİTE TABLOSU'!$D:$D,"AYRI")</f>
        <v>0</v>
      </c>
      <c r="E39" s="50">
        <f t="shared" si="0"/>
        <v>0</v>
      </c>
      <c r="F39" s="51" t="e">
        <f>SUMIFS('KAPASİTE TABLOSU'!#REF!,'KAPASİTE TABLOSU'!$A:$A,A39,'KAPASİTE TABLOSU'!$D:$D,"KIZ")</f>
        <v>#REF!</v>
      </c>
      <c r="G39" s="52" t="e">
        <f>SUMIFS('KAPASİTE TABLOSU'!#REF!,'KAPASİTE TABLOSU'!$A:$A,A39,'KAPASİTE TABLOSU'!$D:$D,"ERKEK")</f>
        <v>#REF!</v>
      </c>
      <c r="H39" s="52" t="e">
        <f>SUMIFS('KAPASİTE TABLOSU'!#REF!,'KAPASİTE TABLOSU'!$A:$A,A39,'KAPASİTE TABLOSU'!$D:$D,"AYRI")</f>
        <v>#REF!</v>
      </c>
      <c r="I39" s="53" t="e">
        <f t="shared" si="1"/>
        <v>#REF!</v>
      </c>
    </row>
    <row r="40" spans="1:9" x14ac:dyDescent="0.25">
      <c r="A40" s="47" t="s">
        <v>100</v>
      </c>
      <c r="B40" s="48">
        <f>COUNTIFS('KAPASİTE TABLOSU'!$A:$A,A40,'KAPASİTE TABLOSU'!$D:$D,"KIZ")</f>
        <v>0</v>
      </c>
      <c r="C40" s="49">
        <f>COUNTIFS('KAPASİTE TABLOSU'!$A:$A,A40,'KAPASİTE TABLOSU'!$D:$D,"ERKEK")</f>
        <v>0</v>
      </c>
      <c r="D40" s="49">
        <f>COUNTIFS('KAPASİTE TABLOSU'!$A:$A,A40,'KAPASİTE TABLOSU'!$D:$D,"AYRI")</f>
        <v>0</v>
      </c>
      <c r="E40" s="50">
        <f t="shared" si="0"/>
        <v>0</v>
      </c>
      <c r="F40" s="51" t="e">
        <f>SUMIFS('KAPASİTE TABLOSU'!#REF!,'KAPASİTE TABLOSU'!$A:$A,A40,'KAPASİTE TABLOSU'!$D:$D,"KIZ")</f>
        <v>#REF!</v>
      </c>
      <c r="G40" s="52" t="e">
        <f>SUMIFS('KAPASİTE TABLOSU'!#REF!,'KAPASİTE TABLOSU'!$A:$A,A40,'KAPASİTE TABLOSU'!$D:$D,"ERKEK")</f>
        <v>#REF!</v>
      </c>
      <c r="H40" s="52" t="e">
        <f>SUMIFS('KAPASİTE TABLOSU'!#REF!,'KAPASİTE TABLOSU'!$A:$A,A40,'KAPASİTE TABLOSU'!$D:$D,"AYRI")</f>
        <v>#REF!</v>
      </c>
      <c r="I40" s="53" t="e">
        <f t="shared" si="1"/>
        <v>#REF!</v>
      </c>
    </row>
    <row r="41" spans="1:9" x14ac:dyDescent="0.25">
      <c r="A41" s="47" t="s">
        <v>30</v>
      </c>
      <c r="B41" s="48">
        <f>COUNTIFS('KAPASİTE TABLOSU'!$A:$A,A41,'KAPASİTE TABLOSU'!$D:$D,"KIZ")</f>
        <v>0</v>
      </c>
      <c r="C41" s="49">
        <f>COUNTIFS('KAPASİTE TABLOSU'!$A:$A,A41,'KAPASİTE TABLOSU'!$D:$D,"ERKEK")</f>
        <v>0</v>
      </c>
      <c r="D41" s="49">
        <f>COUNTIFS('KAPASİTE TABLOSU'!$A:$A,A41,'KAPASİTE TABLOSU'!$D:$D,"AYRI")</f>
        <v>0</v>
      </c>
      <c r="E41" s="50">
        <f t="shared" si="0"/>
        <v>0</v>
      </c>
      <c r="F41" s="51" t="e">
        <f>SUMIFS('KAPASİTE TABLOSU'!#REF!,'KAPASİTE TABLOSU'!$A:$A,A41,'KAPASİTE TABLOSU'!$D:$D,"KIZ")</f>
        <v>#REF!</v>
      </c>
      <c r="G41" s="52" t="e">
        <f>SUMIFS('KAPASİTE TABLOSU'!#REF!,'KAPASİTE TABLOSU'!$A:$A,A41,'KAPASİTE TABLOSU'!$D:$D,"ERKEK")</f>
        <v>#REF!</v>
      </c>
      <c r="H41" s="52" t="e">
        <f>SUMIFS('KAPASİTE TABLOSU'!#REF!,'KAPASİTE TABLOSU'!$A:$A,A41,'KAPASİTE TABLOSU'!$D:$D,"AYRI")</f>
        <v>#REF!</v>
      </c>
      <c r="I41" s="53" t="e">
        <f t="shared" si="1"/>
        <v>#REF!</v>
      </c>
    </row>
    <row r="42" spans="1:9" x14ac:dyDescent="0.25">
      <c r="A42" s="47" t="s">
        <v>119</v>
      </c>
      <c r="B42" s="48">
        <f>COUNTIFS('KAPASİTE TABLOSU'!$A:$A,A42,'KAPASİTE TABLOSU'!$D:$D,"KIZ")</f>
        <v>0</v>
      </c>
      <c r="C42" s="49">
        <f>COUNTIFS('KAPASİTE TABLOSU'!$A:$A,A42,'KAPASİTE TABLOSU'!$D:$D,"ERKEK")</f>
        <v>0</v>
      </c>
      <c r="D42" s="49">
        <f>COUNTIFS('KAPASİTE TABLOSU'!$A:$A,A42,'KAPASİTE TABLOSU'!$D:$D,"AYRI")</f>
        <v>0</v>
      </c>
      <c r="E42" s="50">
        <f t="shared" si="0"/>
        <v>0</v>
      </c>
      <c r="F42" s="51" t="e">
        <f>SUMIFS('KAPASİTE TABLOSU'!#REF!,'KAPASİTE TABLOSU'!$A:$A,A42,'KAPASİTE TABLOSU'!$D:$D,"KIZ")</f>
        <v>#REF!</v>
      </c>
      <c r="G42" s="52" t="e">
        <f>SUMIFS('KAPASİTE TABLOSU'!#REF!,'KAPASİTE TABLOSU'!$A:$A,A42,'KAPASİTE TABLOSU'!$D:$D,"ERKEK")</f>
        <v>#REF!</v>
      </c>
      <c r="H42" s="52" t="e">
        <f>SUMIFS('KAPASİTE TABLOSU'!#REF!,'KAPASİTE TABLOSU'!$A:$A,A42,'KAPASİTE TABLOSU'!$D:$D,"AYRI")</f>
        <v>#REF!</v>
      </c>
      <c r="I42" s="53" t="e">
        <f t="shared" si="1"/>
        <v>#REF!</v>
      </c>
    </row>
    <row r="43" spans="1:9" x14ac:dyDescent="0.25">
      <c r="A43" s="47" t="s">
        <v>120</v>
      </c>
      <c r="B43" s="48">
        <f>COUNTIFS('KAPASİTE TABLOSU'!$A:$A,A43,'KAPASİTE TABLOSU'!$D:$D,"KIZ")</f>
        <v>0</v>
      </c>
      <c r="C43" s="49">
        <f>COUNTIFS('KAPASİTE TABLOSU'!$A:$A,A43,'KAPASİTE TABLOSU'!$D:$D,"ERKEK")</f>
        <v>0</v>
      </c>
      <c r="D43" s="49">
        <f>COUNTIFS('KAPASİTE TABLOSU'!$A:$A,A43,'KAPASİTE TABLOSU'!$D:$D,"AYRI")</f>
        <v>0</v>
      </c>
      <c r="E43" s="50">
        <f t="shared" si="0"/>
        <v>0</v>
      </c>
      <c r="F43" s="51" t="e">
        <f>SUMIFS('KAPASİTE TABLOSU'!#REF!,'KAPASİTE TABLOSU'!$A:$A,A43,'KAPASİTE TABLOSU'!$D:$D,"KIZ")</f>
        <v>#REF!</v>
      </c>
      <c r="G43" s="52" t="e">
        <f>SUMIFS('KAPASİTE TABLOSU'!#REF!,'KAPASİTE TABLOSU'!$A:$A,A43,'KAPASİTE TABLOSU'!$D:$D,"ERKEK")</f>
        <v>#REF!</v>
      </c>
      <c r="H43" s="52" t="e">
        <f>SUMIFS('KAPASİTE TABLOSU'!#REF!,'KAPASİTE TABLOSU'!$A:$A,A43,'KAPASİTE TABLOSU'!$D:$D,"AYRI")</f>
        <v>#REF!</v>
      </c>
      <c r="I43" s="53" t="e">
        <f t="shared" si="1"/>
        <v>#REF!</v>
      </c>
    </row>
    <row r="44" spans="1:9" x14ac:dyDescent="0.25">
      <c r="A44" s="47" t="s">
        <v>487</v>
      </c>
      <c r="B44" s="48">
        <f>COUNTIFS('KAPASİTE TABLOSU'!$A:$A,A44,'KAPASİTE TABLOSU'!$D:$D,"KIZ")</f>
        <v>0</v>
      </c>
      <c r="C44" s="49">
        <f>COUNTIFS('KAPASİTE TABLOSU'!$A:$A,A44,'KAPASİTE TABLOSU'!$D:$D,"ERKEK")</f>
        <v>0</v>
      </c>
      <c r="D44" s="49">
        <f>COUNTIFS('KAPASİTE TABLOSU'!$A:$A,A44,'KAPASİTE TABLOSU'!$D:$D,"AYRI")</f>
        <v>0</v>
      </c>
      <c r="E44" s="50">
        <f t="shared" si="0"/>
        <v>0</v>
      </c>
      <c r="F44" s="51" t="e">
        <f>SUMIFS('KAPASİTE TABLOSU'!#REF!,'KAPASİTE TABLOSU'!$A:$A,A44,'KAPASİTE TABLOSU'!$D:$D,"KIZ")</f>
        <v>#REF!</v>
      </c>
      <c r="G44" s="52" t="e">
        <f>SUMIFS('KAPASİTE TABLOSU'!#REF!,'KAPASİTE TABLOSU'!$A:$A,A44,'KAPASİTE TABLOSU'!$D:$D,"ERKEK")</f>
        <v>#REF!</v>
      </c>
      <c r="H44" s="52" t="e">
        <f>SUMIFS('KAPASİTE TABLOSU'!#REF!,'KAPASİTE TABLOSU'!$A:$A,A44,'KAPASİTE TABLOSU'!$D:$D,"AYRI")</f>
        <v>#REF!</v>
      </c>
      <c r="I44" s="53" t="e">
        <f t="shared" si="1"/>
        <v>#REF!</v>
      </c>
    </row>
    <row r="45" spans="1:9" x14ac:dyDescent="0.25">
      <c r="A45" s="47" t="s">
        <v>217</v>
      </c>
      <c r="B45" s="48">
        <f>COUNTIFS('KAPASİTE TABLOSU'!$A:$A,A45,'KAPASİTE TABLOSU'!$D:$D,"KIZ")</f>
        <v>0</v>
      </c>
      <c r="C45" s="49">
        <f>COUNTIFS('KAPASİTE TABLOSU'!$A:$A,A45,'KAPASİTE TABLOSU'!$D:$D,"ERKEK")</f>
        <v>0</v>
      </c>
      <c r="D45" s="49">
        <f>COUNTIFS('KAPASİTE TABLOSU'!$A:$A,A45,'KAPASİTE TABLOSU'!$D:$D,"AYRI")</f>
        <v>0</v>
      </c>
      <c r="E45" s="50">
        <f t="shared" si="0"/>
        <v>0</v>
      </c>
      <c r="F45" s="51" t="e">
        <f>SUMIFS('KAPASİTE TABLOSU'!#REF!,'KAPASİTE TABLOSU'!$A:$A,A45,'KAPASİTE TABLOSU'!$D:$D,"KIZ")</f>
        <v>#REF!</v>
      </c>
      <c r="G45" s="52" t="e">
        <f>SUMIFS('KAPASİTE TABLOSU'!#REF!,'KAPASİTE TABLOSU'!$A:$A,A45,'KAPASİTE TABLOSU'!$D:$D,"ERKEK")</f>
        <v>#REF!</v>
      </c>
      <c r="H45" s="52" t="e">
        <f>SUMIFS('KAPASİTE TABLOSU'!#REF!,'KAPASİTE TABLOSU'!$A:$A,A45,'KAPASİTE TABLOSU'!$D:$D,"AYRI")</f>
        <v>#REF!</v>
      </c>
      <c r="I45" s="53" t="e">
        <f t="shared" si="1"/>
        <v>#REF!</v>
      </c>
    </row>
    <row r="46" spans="1:9" x14ac:dyDescent="0.25">
      <c r="A46" s="47" t="s">
        <v>156</v>
      </c>
      <c r="B46" s="48">
        <f>COUNTIFS('KAPASİTE TABLOSU'!$A:$A,A46,'KAPASİTE TABLOSU'!$D:$D,"KIZ")</f>
        <v>0</v>
      </c>
      <c r="C46" s="49">
        <f>COUNTIFS('KAPASİTE TABLOSU'!$A:$A,A46,'KAPASİTE TABLOSU'!$D:$D,"ERKEK")</f>
        <v>0</v>
      </c>
      <c r="D46" s="49">
        <f>COUNTIFS('KAPASİTE TABLOSU'!$A:$A,A46,'KAPASİTE TABLOSU'!$D:$D,"AYRI")</f>
        <v>0</v>
      </c>
      <c r="E46" s="50">
        <f t="shared" si="0"/>
        <v>0</v>
      </c>
      <c r="F46" s="51" t="e">
        <f>SUMIFS('KAPASİTE TABLOSU'!#REF!,'KAPASİTE TABLOSU'!$A:$A,A46,'KAPASİTE TABLOSU'!$D:$D,"KIZ")</f>
        <v>#REF!</v>
      </c>
      <c r="G46" s="52" t="e">
        <f>SUMIFS('KAPASİTE TABLOSU'!#REF!,'KAPASİTE TABLOSU'!$A:$A,A46,'KAPASİTE TABLOSU'!$D:$D,"ERKEK")</f>
        <v>#REF!</v>
      </c>
      <c r="H46" s="52" t="e">
        <f>SUMIFS('KAPASİTE TABLOSU'!#REF!,'KAPASİTE TABLOSU'!$A:$A,A46,'KAPASİTE TABLOSU'!$D:$D,"AYRI")</f>
        <v>#REF!</v>
      </c>
      <c r="I46" s="53" t="e">
        <f t="shared" si="1"/>
        <v>#REF!</v>
      </c>
    </row>
    <row r="47" spans="1:9" x14ac:dyDescent="0.25">
      <c r="A47" s="47" t="s">
        <v>101</v>
      </c>
      <c r="B47" s="48">
        <f>COUNTIFS('KAPASİTE TABLOSU'!$A:$A,A47,'KAPASİTE TABLOSU'!$D:$D,"KIZ")</f>
        <v>0</v>
      </c>
      <c r="C47" s="49">
        <f>COUNTIFS('KAPASİTE TABLOSU'!$A:$A,A47,'KAPASİTE TABLOSU'!$D:$D,"ERKEK")</f>
        <v>0</v>
      </c>
      <c r="D47" s="49">
        <f>COUNTIFS('KAPASİTE TABLOSU'!$A:$A,A47,'KAPASİTE TABLOSU'!$D:$D,"AYRI")</f>
        <v>0</v>
      </c>
      <c r="E47" s="50">
        <f t="shared" si="0"/>
        <v>0</v>
      </c>
      <c r="F47" s="51" t="e">
        <f>SUMIFS('KAPASİTE TABLOSU'!#REF!,'KAPASİTE TABLOSU'!$A:$A,A47,'KAPASİTE TABLOSU'!$D:$D,"KIZ")</f>
        <v>#REF!</v>
      </c>
      <c r="G47" s="52" t="e">
        <f>SUMIFS('KAPASİTE TABLOSU'!#REF!,'KAPASİTE TABLOSU'!$A:$A,A47,'KAPASİTE TABLOSU'!$D:$D,"ERKEK")</f>
        <v>#REF!</v>
      </c>
      <c r="H47" s="52" t="e">
        <f>SUMIFS('KAPASİTE TABLOSU'!#REF!,'KAPASİTE TABLOSU'!$A:$A,A47,'KAPASİTE TABLOSU'!$D:$D,"AYRI")</f>
        <v>#REF!</v>
      </c>
      <c r="I47" s="53" t="e">
        <f t="shared" si="1"/>
        <v>#REF!</v>
      </c>
    </row>
    <row r="48" spans="1:9" x14ac:dyDescent="0.25">
      <c r="A48" s="47" t="s">
        <v>22</v>
      </c>
      <c r="B48" s="48">
        <f>COUNTIFS('KAPASİTE TABLOSU'!$A:$A,A48,'KAPASİTE TABLOSU'!$D:$D,"KIZ")</f>
        <v>0</v>
      </c>
      <c r="C48" s="49">
        <f>COUNTIFS('KAPASİTE TABLOSU'!$A:$A,A48,'KAPASİTE TABLOSU'!$D:$D,"ERKEK")</f>
        <v>0</v>
      </c>
      <c r="D48" s="49">
        <f>COUNTIFS('KAPASİTE TABLOSU'!$A:$A,A48,'KAPASİTE TABLOSU'!$D:$D,"AYRI")</f>
        <v>0</v>
      </c>
      <c r="E48" s="50">
        <f t="shared" si="0"/>
        <v>0</v>
      </c>
      <c r="F48" s="51" t="e">
        <f>SUMIFS('KAPASİTE TABLOSU'!#REF!,'KAPASİTE TABLOSU'!$A:$A,A48,'KAPASİTE TABLOSU'!$D:$D,"KIZ")</f>
        <v>#REF!</v>
      </c>
      <c r="G48" s="52" t="e">
        <f>SUMIFS('KAPASİTE TABLOSU'!#REF!,'KAPASİTE TABLOSU'!$A:$A,A48,'KAPASİTE TABLOSU'!$D:$D,"ERKEK")</f>
        <v>#REF!</v>
      </c>
      <c r="H48" s="52" t="e">
        <f>SUMIFS('KAPASİTE TABLOSU'!#REF!,'KAPASİTE TABLOSU'!$A:$A,A48,'KAPASİTE TABLOSU'!$D:$D,"AYRI")</f>
        <v>#REF!</v>
      </c>
      <c r="I48" s="53" t="e">
        <f t="shared" si="1"/>
        <v>#REF!</v>
      </c>
    </row>
    <row r="49" spans="1:9" x14ac:dyDescent="0.25">
      <c r="A49" s="47" t="s">
        <v>131</v>
      </c>
      <c r="B49" s="48">
        <f>COUNTIFS('KAPASİTE TABLOSU'!$A:$A,A49,'KAPASİTE TABLOSU'!$D:$D,"KIZ")</f>
        <v>0</v>
      </c>
      <c r="C49" s="49">
        <f>COUNTIFS('KAPASİTE TABLOSU'!$A:$A,A49,'KAPASİTE TABLOSU'!$D:$D,"ERKEK")</f>
        <v>0</v>
      </c>
      <c r="D49" s="49">
        <f>COUNTIFS('KAPASİTE TABLOSU'!$A:$A,A49,'KAPASİTE TABLOSU'!$D:$D,"AYRI")</f>
        <v>0</v>
      </c>
      <c r="E49" s="50">
        <f t="shared" si="0"/>
        <v>0</v>
      </c>
      <c r="F49" s="51" t="e">
        <f>SUMIFS('KAPASİTE TABLOSU'!#REF!,'KAPASİTE TABLOSU'!$A:$A,A49,'KAPASİTE TABLOSU'!$D:$D,"KIZ")</f>
        <v>#REF!</v>
      </c>
      <c r="G49" s="52" t="e">
        <f>SUMIFS('KAPASİTE TABLOSU'!#REF!,'KAPASİTE TABLOSU'!$A:$A,A49,'KAPASİTE TABLOSU'!$D:$D,"ERKEK")</f>
        <v>#REF!</v>
      </c>
      <c r="H49" s="52" t="e">
        <f>SUMIFS('KAPASİTE TABLOSU'!#REF!,'KAPASİTE TABLOSU'!$A:$A,A49,'KAPASİTE TABLOSU'!$D:$D,"AYRI")</f>
        <v>#REF!</v>
      </c>
      <c r="I49" s="53" t="e">
        <f t="shared" si="1"/>
        <v>#REF!</v>
      </c>
    </row>
    <row r="50" spans="1:9" x14ac:dyDescent="0.25">
      <c r="A50" s="47" t="s">
        <v>23</v>
      </c>
      <c r="B50" s="48">
        <f>COUNTIFS('KAPASİTE TABLOSU'!$A:$A,A50,'KAPASİTE TABLOSU'!$D:$D,"KIZ")</f>
        <v>0</v>
      </c>
      <c r="C50" s="49">
        <f>COUNTIFS('KAPASİTE TABLOSU'!$A:$A,A50,'KAPASİTE TABLOSU'!$D:$D,"ERKEK")</f>
        <v>0</v>
      </c>
      <c r="D50" s="49">
        <f>COUNTIFS('KAPASİTE TABLOSU'!$A:$A,A50,'KAPASİTE TABLOSU'!$D:$D,"AYRI")</f>
        <v>0</v>
      </c>
      <c r="E50" s="50">
        <f t="shared" si="0"/>
        <v>0</v>
      </c>
      <c r="F50" s="51" t="e">
        <f>SUMIFS('KAPASİTE TABLOSU'!#REF!,'KAPASİTE TABLOSU'!$A:$A,A50,'KAPASİTE TABLOSU'!$D:$D,"KIZ")</f>
        <v>#REF!</v>
      </c>
      <c r="G50" s="52" t="e">
        <f>SUMIFS('KAPASİTE TABLOSU'!#REF!,'KAPASİTE TABLOSU'!$A:$A,A50,'KAPASİTE TABLOSU'!$D:$D,"ERKEK")</f>
        <v>#REF!</v>
      </c>
      <c r="H50" s="52" t="e">
        <f>SUMIFS('KAPASİTE TABLOSU'!#REF!,'KAPASİTE TABLOSU'!$A:$A,A50,'KAPASİTE TABLOSU'!$D:$D,"AYRI")</f>
        <v>#REF!</v>
      </c>
      <c r="I50" s="53" t="e">
        <f t="shared" si="1"/>
        <v>#REF!</v>
      </c>
    </row>
    <row r="51" spans="1:9" x14ac:dyDescent="0.25">
      <c r="A51" s="47" t="s">
        <v>80</v>
      </c>
      <c r="B51" s="48">
        <f>COUNTIFS('KAPASİTE TABLOSU'!$A:$A,A51,'KAPASİTE TABLOSU'!$D:$D,"KIZ")</f>
        <v>0</v>
      </c>
      <c r="C51" s="49">
        <f>COUNTIFS('KAPASİTE TABLOSU'!$A:$A,A51,'KAPASİTE TABLOSU'!$D:$D,"ERKEK")</f>
        <v>0</v>
      </c>
      <c r="D51" s="49">
        <f>COUNTIFS('KAPASİTE TABLOSU'!$A:$A,A51,'KAPASİTE TABLOSU'!$D:$D,"AYRI")</f>
        <v>0</v>
      </c>
      <c r="E51" s="50">
        <f t="shared" si="0"/>
        <v>0</v>
      </c>
      <c r="F51" s="51" t="e">
        <f>SUMIFS('KAPASİTE TABLOSU'!#REF!,'KAPASİTE TABLOSU'!$A:$A,A51,'KAPASİTE TABLOSU'!$D:$D,"KIZ")</f>
        <v>#REF!</v>
      </c>
      <c r="G51" s="52" t="e">
        <f>SUMIFS('KAPASİTE TABLOSU'!#REF!,'KAPASİTE TABLOSU'!$A:$A,A51,'KAPASİTE TABLOSU'!$D:$D,"ERKEK")</f>
        <v>#REF!</v>
      </c>
      <c r="H51" s="52" t="e">
        <f>SUMIFS('KAPASİTE TABLOSU'!#REF!,'KAPASİTE TABLOSU'!$A:$A,A51,'KAPASİTE TABLOSU'!$D:$D,"AYRI")</f>
        <v>#REF!</v>
      </c>
      <c r="I51" s="53" t="e">
        <f t="shared" si="1"/>
        <v>#REF!</v>
      </c>
    </row>
    <row r="52" spans="1:9" x14ac:dyDescent="0.25">
      <c r="A52" s="47" t="s">
        <v>133</v>
      </c>
      <c r="B52" s="48">
        <f>COUNTIFS('KAPASİTE TABLOSU'!$A:$A,A52,'KAPASİTE TABLOSU'!$D:$D,"KIZ")</f>
        <v>0</v>
      </c>
      <c r="C52" s="49">
        <f>COUNTIFS('KAPASİTE TABLOSU'!$A:$A,A52,'KAPASİTE TABLOSU'!$D:$D,"ERKEK")</f>
        <v>0</v>
      </c>
      <c r="D52" s="49">
        <f>COUNTIFS('KAPASİTE TABLOSU'!$A:$A,A52,'KAPASİTE TABLOSU'!$D:$D,"AYRI")</f>
        <v>0</v>
      </c>
      <c r="E52" s="50">
        <f t="shared" si="0"/>
        <v>0</v>
      </c>
      <c r="F52" s="51" t="e">
        <f>SUMIFS('KAPASİTE TABLOSU'!#REF!,'KAPASİTE TABLOSU'!$A:$A,A52,'KAPASİTE TABLOSU'!$D:$D,"KIZ")</f>
        <v>#REF!</v>
      </c>
      <c r="G52" s="52" t="e">
        <f>SUMIFS('KAPASİTE TABLOSU'!#REF!,'KAPASİTE TABLOSU'!$A:$A,A52,'KAPASİTE TABLOSU'!$D:$D,"ERKEK")</f>
        <v>#REF!</v>
      </c>
      <c r="H52" s="52" t="e">
        <f>SUMIFS('KAPASİTE TABLOSU'!#REF!,'KAPASİTE TABLOSU'!$A:$A,A52,'KAPASİTE TABLOSU'!$D:$D,"AYRI")</f>
        <v>#REF!</v>
      </c>
      <c r="I52" s="53" t="e">
        <f t="shared" si="1"/>
        <v>#REF!</v>
      </c>
    </row>
    <row r="53" spans="1:9" x14ac:dyDescent="0.25">
      <c r="A53" s="47" t="s">
        <v>117</v>
      </c>
      <c r="B53" s="48">
        <f>COUNTIFS('KAPASİTE TABLOSU'!$A:$A,A53,'KAPASİTE TABLOSU'!$D:$D,"KIZ")</f>
        <v>0</v>
      </c>
      <c r="C53" s="49">
        <f>COUNTIFS('KAPASİTE TABLOSU'!$A:$A,A53,'KAPASİTE TABLOSU'!$D:$D,"ERKEK")</f>
        <v>0</v>
      </c>
      <c r="D53" s="49">
        <f>COUNTIFS('KAPASİTE TABLOSU'!$A:$A,A53,'KAPASİTE TABLOSU'!$D:$D,"AYRI")</f>
        <v>0</v>
      </c>
      <c r="E53" s="50">
        <f t="shared" si="0"/>
        <v>0</v>
      </c>
      <c r="F53" s="51" t="e">
        <f>SUMIFS('KAPASİTE TABLOSU'!#REF!,'KAPASİTE TABLOSU'!$A:$A,A53,'KAPASİTE TABLOSU'!$D:$D,"KIZ")</f>
        <v>#REF!</v>
      </c>
      <c r="G53" s="52" t="e">
        <f>SUMIFS('KAPASİTE TABLOSU'!#REF!,'KAPASİTE TABLOSU'!$A:$A,A53,'KAPASİTE TABLOSU'!$D:$D,"ERKEK")</f>
        <v>#REF!</v>
      </c>
      <c r="H53" s="52" t="e">
        <f>SUMIFS('KAPASİTE TABLOSU'!#REF!,'KAPASİTE TABLOSU'!$A:$A,A53,'KAPASİTE TABLOSU'!$D:$D,"AYRI")</f>
        <v>#REF!</v>
      </c>
      <c r="I53" s="53" t="e">
        <f t="shared" si="1"/>
        <v>#REF!</v>
      </c>
    </row>
    <row r="54" spans="1:9" x14ac:dyDescent="0.25">
      <c r="A54" s="47" t="s">
        <v>41</v>
      </c>
      <c r="B54" s="48">
        <f>COUNTIFS('KAPASİTE TABLOSU'!$A:$A,A54,'KAPASİTE TABLOSU'!$D:$D,"KIZ")</f>
        <v>0</v>
      </c>
      <c r="C54" s="49">
        <f>COUNTIFS('KAPASİTE TABLOSU'!$A:$A,A54,'KAPASİTE TABLOSU'!$D:$D,"ERKEK")</f>
        <v>0</v>
      </c>
      <c r="D54" s="49">
        <f>COUNTIFS('KAPASİTE TABLOSU'!$A:$A,A54,'KAPASİTE TABLOSU'!$D:$D,"AYRI")</f>
        <v>0</v>
      </c>
      <c r="E54" s="50">
        <f t="shared" si="0"/>
        <v>0</v>
      </c>
      <c r="F54" s="51" t="e">
        <f>SUMIFS('KAPASİTE TABLOSU'!#REF!,'KAPASİTE TABLOSU'!$A:$A,A54,'KAPASİTE TABLOSU'!$D:$D,"KIZ")</f>
        <v>#REF!</v>
      </c>
      <c r="G54" s="52" t="e">
        <f>SUMIFS('KAPASİTE TABLOSU'!#REF!,'KAPASİTE TABLOSU'!$A:$A,A54,'KAPASİTE TABLOSU'!$D:$D,"ERKEK")</f>
        <v>#REF!</v>
      </c>
      <c r="H54" s="52" t="e">
        <f>SUMIFS('KAPASİTE TABLOSU'!#REF!,'KAPASİTE TABLOSU'!$A:$A,A54,'KAPASİTE TABLOSU'!$D:$D,"AYRI")</f>
        <v>#REF!</v>
      </c>
      <c r="I54" s="53" t="e">
        <f t="shared" si="1"/>
        <v>#REF!</v>
      </c>
    </row>
    <row r="55" spans="1:9" x14ac:dyDescent="0.25">
      <c r="A55" s="47" t="s">
        <v>146</v>
      </c>
      <c r="B55" s="48">
        <f>COUNTIFS('KAPASİTE TABLOSU'!$A:$A,A55,'KAPASİTE TABLOSU'!$D:$D,"KIZ")</f>
        <v>0</v>
      </c>
      <c r="C55" s="49">
        <f>COUNTIFS('KAPASİTE TABLOSU'!$A:$A,A55,'KAPASİTE TABLOSU'!$D:$D,"ERKEK")</f>
        <v>0</v>
      </c>
      <c r="D55" s="49">
        <f>COUNTIFS('KAPASİTE TABLOSU'!$A:$A,A55,'KAPASİTE TABLOSU'!$D:$D,"AYRI")</f>
        <v>0</v>
      </c>
      <c r="E55" s="50">
        <f t="shared" si="0"/>
        <v>0</v>
      </c>
      <c r="F55" s="51" t="e">
        <f>SUMIFS('KAPASİTE TABLOSU'!#REF!,'KAPASİTE TABLOSU'!$A:$A,A55,'KAPASİTE TABLOSU'!$D:$D,"KIZ")</f>
        <v>#REF!</v>
      </c>
      <c r="G55" s="52" t="e">
        <f>SUMIFS('KAPASİTE TABLOSU'!#REF!,'KAPASİTE TABLOSU'!$A:$A,A55,'KAPASİTE TABLOSU'!$D:$D,"ERKEK")</f>
        <v>#REF!</v>
      </c>
      <c r="H55" s="52" t="e">
        <f>SUMIFS('KAPASİTE TABLOSU'!#REF!,'KAPASİTE TABLOSU'!$A:$A,A55,'KAPASİTE TABLOSU'!$D:$D,"AYRI")</f>
        <v>#REF!</v>
      </c>
      <c r="I55" s="53" t="e">
        <f t="shared" si="1"/>
        <v>#REF!</v>
      </c>
    </row>
    <row r="56" spans="1:9" x14ac:dyDescent="0.25">
      <c r="A56" s="47" t="s">
        <v>109</v>
      </c>
      <c r="B56" s="48">
        <f>COUNTIFS('KAPASİTE TABLOSU'!$A:$A,A56,'KAPASİTE TABLOSU'!$D:$D,"KIZ")</f>
        <v>0</v>
      </c>
      <c r="C56" s="49">
        <f>COUNTIFS('KAPASİTE TABLOSU'!$A:$A,A56,'KAPASİTE TABLOSU'!$D:$D,"ERKEK")</f>
        <v>0</v>
      </c>
      <c r="D56" s="49">
        <f>COUNTIFS('KAPASİTE TABLOSU'!$A:$A,A56,'KAPASİTE TABLOSU'!$D:$D,"AYRI")</f>
        <v>0</v>
      </c>
      <c r="E56" s="50">
        <f t="shared" si="0"/>
        <v>0</v>
      </c>
      <c r="F56" s="51" t="e">
        <f>SUMIFS('KAPASİTE TABLOSU'!#REF!,'KAPASİTE TABLOSU'!$A:$A,A56,'KAPASİTE TABLOSU'!$D:$D,"KIZ")</f>
        <v>#REF!</v>
      </c>
      <c r="G56" s="52" t="e">
        <f>SUMIFS('KAPASİTE TABLOSU'!#REF!,'KAPASİTE TABLOSU'!$A:$A,A56,'KAPASİTE TABLOSU'!$D:$D,"ERKEK")</f>
        <v>#REF!</v>
      </c>
      <c r="H56" s="52" t="e">
        <f>SUMIFS('KAPASİTE TABLOSU'!#REF!,'KAPASİTE TABLOSU'!$A:$A,A56,'KAPASİTE TABLOSU'!$D:$D,"AYRI")</f>
        <v>#REF!</v>
      </c>
      <c r="I56" s="53" t="e">
        <f t="shared" si="1"/>
        <v>#REF!</v>
      </c>
    </row>
    <row r="57" spans="1:9" x14ac:dyDescent="0.25">
      <c r="A57" s="47" t="s">
        <v>158</v>
      </c>
      <c r="B57" s="48">
        <f>COUNTIFS('KAPASİTE TABLOSU'!$A:$A,A57,'KAPASİTE TABLOSU'!$D:$D,"KIZ")</f>
        <v>0</v>
      </c>
      <c r="C57" s="49">
        <f>COUNTIFS('KAPASİTE TABLOSU'!$A:$A,A57,'KAPASİTE TABLOSU'!$D:$D,"ERKEK")</f>
        <v>0</v>
      </c>
      <c r="D57" s="49">
        <f>COUNTIFS('KAPASİTE TABLOSU'!$A:$A,A57,'KAPASİTE TABLOSU'!$D:$D,"AYRI")</f>
        <v>0</v>
      </c>
      <c r="E57" s="50">
        <f t="shared" si="0"/>
        <v>0</v>
      </c>
      <c r="F57" s="51" t="e">
        <f>SUMIFS('KAPASİTE TABLOSU'!#REF!,'KAPASİTE TABLOSU'!$A:$A,A57,'KAPASİTE TABLOSU'!$D:$D,"KIZ")</f>
        <v>#REF!</v>
      </c>
      <c r="G57" s="52" t="e">
        <f>SUMIFS('KAPASİTE TABLOSU'!#REF!,'KAPASİTE TABLOSU'!$A:$A,A57,'KAPASİTE TABLOSU'!$D:$D,"ERKEK")</f>
        <v>#REF!</v>
      </c>
      <c r="H57" s="52" t="e">
        <f>SUMIFS('KAPASİTE TABLOSU'!#REF!,'KAPASİTE TABLOSU'!$A:$A,A57,'KAPASİTE TABLOSU'!$D:$D,"AYRI")</f>
        <v>#REF!</v>
      </c>
      <c r="I57" s="53" t="e">
        <f t="shared" si="1"/>
        <v>#REF!</v>
      </c>
    </row>
    <row r="58" spans="1:9" x14ac:dyDescent="0.25">
      <c r="A58" s="47" t="s">
        <v>122</v>
      </c>
      <c r="B58" s="48">
        <f>COUNTIFS('KAPASİTE TABLOSU'!$A:$A,A58,'KAPASİTE TABLOSU'!$D:$D,"KIZ")</f>
        <v>0</v>
      </c>
      <c r="C58" s="49">
        <f>COUNTIFS('KAPASİTE TABLOSU'!$A:$A,A58,'KAPASİTE TABLOSU'!$D:$D,"ERKEK")</f>
        <v>0</v>
      </c>
      <c r="D58" s="49">
        <f>COUNTIFS('KAPASİTE TABLOSU'!$A:$A,A58,'KAPASİTE TABLOSU'!$D:$D,"AYRI")</f>
        <v>0</v>
      </c>
      <c r="E58" s="50">
        <f t="shared" si="0"/>
        <v>0</v>
      </c>
      <c r="F58" s="51" t="e">
        <f>SUMIFS('KAPASİTE TABLOSU'!#REF!,'KAPASİTE TABLOSU'!$A:$A,A58,'KAPASİTE TABLOSU'!$D:$D,"KIZ")</f>
        <v>#REF!</v>
      </c>
      <c r="G58" s="52" t="e">
        <f>SUMIFS('KAPASİTE TABLOSU'!#REF!,'KAPASİTE TABLOSU'!$A:$A,A58,'KAPASİTE TABLOSU'!$D:$D,"ERKEK")</f>
        <v>#REF!</v>
      </c>
      <c r="H58" s="52" t="e">
        <f>SUMIFS('KAPASİTE TABLOSU'!#REF!,'KAPASİTE TABLOSU'!$A:$A,A58,'KAPASİTE TABLOSU'!$D:$D,"AYRI")</f>
        <v>#REF!</v>
      </c>
      <c r="I58" s="53" t="e">
        <f t="shared" si="1"/>
        <v>#REF!</v>
      </c>
    </row>
    <row r="59" spans="1:9" x14ac:dyDescent="0.25">
      <c r="A59" s="47" t="s">
        <v>74</v>
      </c>
      <c r="B59" s="48">
        <f>COUNTIFS('KAPASİTE TABLOSU'!$A:$A,A59,'KAPASİTE TABLOSU'!$D:$D,"KIZ")</f>
        <v>0</v>
      </c>
      <c r="C59" s="49">
        <f>COUNTIFS('KAPASİTE TABLOSU'!$A:$A,A59,'KAPASİTE TABLOSU'!$D:$D,"ERKEK")</f>
        <v>0</v>
      </c>
      <c r="D59" s="49">
        <f>COUNTIFS('KAPASİTE TABLOSU'!$A:$A,A59,'KAPASİTE TABLOSU'!$D:$D,"AYRI")</f>
        <v>0</v>
      </c>
      <c r="E59" s="50">
        <f t="shared" si="0"/>
        <v>0</v>
      </c>
      <c r="F59" s="51" t="e">
        <f>SUMIFS('KAPASİTE TABLOSU'!#REF!,'KAPASİTE TABLOSU'!$A:$A,A59,'KAPASİTE TABLOSU'!$D:$D,"KIZ")</f>
        <v>#REF!</v>
      </c>
      <c r="G59" s="52" t="e">
        <f>SUMIFS('KAPASİTE TABLOSU'!#REF!,'KAPASİTE TABLOSU'!$A:$A,A59,'KAPASİTE TABLOSU'!$D:$D,"ERKEK")</f>
        <v>#REF!</v>
      </c>
      <c r="H59" s="52" t="e">
        <f>SUMIFS('KAPASİTE TABLOSU'!#REF!,'KAPASİTE TABLOSU'!$A:$A,A59,'KAPASİTE TABLOSU'!$D:$D,"AYRI")</f>
        <v>#REF!</v>
      </c>
      <c r="I59" s="53" t="e">
        <f t="shared" si="1"/>
        <v>#REF!</v>
      </c>
    </row>
    <row r="60" spans="1:9" x14ac:dyDescent="0.25">
      <c r="A60" s="47" t="s">
        <v>11</v>
      </c>
      <c r="B60" s="48">
        <f>COUNTIFS('KAPASİTE TABLOSU'!$A:$A,A60,'KAPASİTE TABLOSU'!$D:$D,"KIZ")</f>
        <v>0</v>
      </c>
      <c r="C60" s="49">
        <f>COUNTIFS('KAPASİTE TABLOSU'!$A:$A,A60,'KAPASİTE TABLOSU'!$D:$D,"ERKEK")</f>
        <v>0</v>
      </c>
      <c r="D60" s="49">
        <f>COUNTIFS('KAPASİTE TABLOSU'!$A:$A,A60,'KAPASİTE TABLOSU'!$D:$D,"AYRI")</f>
        <v>0</v>
      </c>
      <c r="E60" s="50">
        <f t="shared" si="0"/>
        <v>0</v>
      </c>
      <c r="F60" s="51" t="e">
        <f>SUMIFS('KAPASİTE TABLOSU'!#REF!,'KAPASİTE TABLOSU'!$A:$A,A60,'KAPASİTE TABLOSU'!$D:$D,"KIZ")</f>
        <v>#REF!</v>
      </c>
      <c r="G60" s="52" t="e">
        <f>SUMIFS('KAPASİTE TABLOSU'!#REF!,'KAPASİTE TABLOSU'!$A:$A,A60,'KAPASİTE TABLOSU'!$D:$D,"ERKEK")</f>
        <v>#REF!</v>
      </c>
      <c r="H60" s="52" t="e">
        <f>SUMIFS('KAPASİTE TABLOSU'!#REF!,'KAPASİTE TABLOSU'!$A:$A,A60,'KAPASİTE TABLOSU'!$D:$D,"AYRI")</f>
        <v>#REF!</v>
      </c>
      <c r="I60" s="53" t="e">
        <f t="shared" si="1"/>
        <v>#REF!</v>
      </c>
    </row>
    <row r="61" spans="1:9" x14ac:dyDescent="0.25">
      <c r="A61" s="47" t="s">
        <v>67</v>
      </c>
      <c r="B61" s="48">
        <f>COUNTIFS('KAPASİTE TABLOSU'!$A:$A,A61,'KAPASİTE TABLOSU'!$D:$D,"KIZ")</f>
        <v>0</v>
      </c>
      <c r="C61" s="49">
        <f>COUNTIFS('KAPASİTE TABLOSU'!$A:$A,A61,'KAPASİTE TABLOSU'!$D:$D,"ERKEK")</f>
        <v>0</v>
      </c>
      <c r="D61" s="49">
        <f>COUNTIFS('KAPASİTE TABLOSU'!$A:$A,A61,'KAPASİTE TABLOSU'!$D:$D,"AYRI")</f>
        <v>0</v>
      </c>
      <c r="E61" s="50">
        <f t="shared" si="0"/>
        <v>0</v>
      </c>
      <c r="F61" s="51" t="e">
        <f>SUMIFS('KAPASİTE TABLOSU'!#REF!,'KAPASİTE TABLOSU'!$A:$A,A61,'KAPASİTE TABLOSU'!$D:$D,"KIZ")</f>
        <v>#REF!</v>
      </c>
      <c r="G61" s="52" t="e">
        <f>SUMIFS('KAPASİTE TABLOSU'!#REF!,'KAPASİTE TABLOSU'!$A:$A,A61,'KAPASİTE TABLOSU'!$D:$D,"ERKEK")</f>
        <v>#REF!</v>
      </c>
      <c r="H61" s="52" t="e">
        <f>SUMIFS('KAPASİTE TABLOSU'!#REF!,'KAPASİTE TABLOSU'!$A:$A,A61,'KAPASİTE TABLOSU'!$D:$D,"AYRI")</f>
        <v>#REF!</v>
      </c>
      <c r="I61" s="53" t="e">
        <f t="shared" si="1"/>
        <v>#REF!</v>
      </c>
    </row>
    <row r="62" spans="1:9" x14ac:dyDescent="0.25">
      <c r="A62" s="47" t="s">
        <v>209</v>
      </c>
      <c r="B62" s="48">
        <f>COUNTIFS('KAPASİTE TABLOSU'!$A:$A,A62,'KAPASİTE TABLOSU'!$D:$D,"KIZ")</f>
        <v>0</v>
      </c>
      <c r="C62" s="49">
        <f>COUNTIFS('KAPASİTE TABLOSU'!$A:$A,A62,'KAPASİTE TABLOSU'!$D:$D,"ERKEK")</f>
        <v>0</v>
      </c>
      <c r="D62" s="49">
        <f>COUNTIFS('KAPASİTE TABLOSU'!$A:$A,A62,'KAPASİTE TABLOSU'!$D:$D,"AYRI")</f>
        <v>0</v>
      </c>
      <c r="E62" s="50">
        <f t="shared" si="0"/>
        <v>0</v>
      </c>
      <c r="F62" s="51" t="e">
        <f>SUMIFS('KAPASİTE TABLOSU'!#REF!,'KAPASİTE TABLOSU'!$A:$A,A62,'KAPASİTE TABLOSU'!$D:$D,"KIZ")</f>
        <v>#REF!</v>
      </c>
      <c r="G62" s="52" t="e">
        <f>SUMIFS('KAPASİTE TABLOSU'!#REF!,'KAPASİTE TABLOSU'!$A:$A,A62,'KAPASİTE TABLOSU'!$D:$D,"ERKEK")</f>
        <v>#REF!</v>
      </c>
      <c r="H62" s="52" t="e">
        <f>SUMIFS('KAPASİTE TABLOSU'!#REF!,'KAPASİTE TABLOSU'!$A:$A,A62,'KAPASİTE TABLOSU'!$D:$D,"AYRI")</f>
        <v>#REF!</v>
      </c>
      <c r="I62" s="53" t="e">
        <f t="shared" si="1"/>
        <v>#REF!</v>
      </c>
    </row>
    <row r="63" spans="1:9" x14ac:dyDescent="0.25">
      <c r="A63" s="47" t="s">
        <v>136</v>
      </c>
      <c r="B63" s="48">
        <f>COUNTIFS('KAPASİTE TABLOSU'!$A:$A,A63,'KAPASİTE TABLOSU'!$D:$D,"KIZ")</f>
        <v>0</v>
      </c>
      <c r="C63" s="49">
        <f>COUNTIFS('KAPASİTE TABLOSU'!$A:$A,A63,'KAPASİTE TABLOSU'!$D:$D,"ERKEK")</f>
        <v>0</v>
      </c>
      <c r="D63" s="49">
        <f>COUNTIFS('KAPASİTE TABLOSU'!$A:$A,A63,'KAPASİTE TABLOSU'!$D:$D,"AYRI")</f>
        <v>0</v>
      </c>
      <c r="E63" s="50">
        <f t="shared" si="0"/>
        <v>0</v>
      </c>
      <c r="F63" s="51" t="e">
        <f>SUMIFS('KAPASİTE TABLOSU'!#REF!,'KAPASİTE TABLOSU'!$A:$A,A63,'KAPASİTE TABLOSU'!$D:$D,"KIZ")</f>
        <v>#REF!</v>
      </c>
      <c r="G63" s="52" t="e">
        <f>SUMIFS('KAPASİTE TABLOSU'!#REF!,'KAPASİTE TABLOSU'!$A:$A,A63,'KAPASİTE TABLOSU'!$D:$D,"ERKEK")</f>
        <v>#REF!</v>
      </c>
      <c r="H63" s="52" t="e">
        <f>SUMIFS('KAPASİTE TABLOSU'!#REF!,'KAPASİTE TABLOSU'!$A:$A,A63,'KAPASİTE TABLOSU'!$D:$D,"AYRI")</f>
        <v>#REF!</v>
      </c>
      <c r="I63" s="53" t="e">
        <f t="shared" si="1"/>
        <v>#REF!</v>
      </c>
    </row>
    <row r="64" spans="1:9" x14ac:dyDescent="0.25">
      <c r="A64" s="47" t="s">
        <v>14</v>
      </c>
      <c r="B64" s="48">
        <f>COUNTIFS('KAPASİTE TABLOSU'!$A:$A,A64,'KAPASİTE TABLOSU'!$D:$D,"KIZ")</f>
        <v>0</v>
      </c>
      <c r="C64" s="49">
        <f>COUNTIFS('KAPASİTE TABLOSU'!$A:$A,A64,'KAPASİTE TABLOSU'!$D:$D,"ERKEK")</f>
        <v>0</v>
      </c>
      <c r="D64" s="49">
        <f>COUNTIFS('KAPASİTE TABLOSU'!$A:$A,A64,'KAPASİTE TABLOSU'!$D:$D,"AYRI")</f>
        <v>0</v>
      </c>
      <c r="E64" s="50">
        <f t="shared" si="0"/>
        <v>0</v>
      </c>
      <c r="F64" s="51" t="e">
        <f>SUMIFS('KAPASİTE TABLOSU'!#REF!,'KAPASİTE TABLOSU'!$A:$A,A64,'KAPASİTE TABLOSU'!$D:$D,"KIZ")</f>
        <v>#REF!</v>
      </c>
      <c r="G64" s="52" t="e">
        <f>SUMIFS('KAPASİTE TABLOSU'!#REF!,'KAPASİTE TABLOSU'!$A:$A,A64,'KAPASİTE TABLOSU'!$D:$D,"ERKEK")</f>
        <v>#REF!</v>
      </c>
      <c r="H64" s="52" t="e">
        <f>SUMIFS('KAPASİTE TABLOSU'!#REF!,'KAPASİTE TABLOSU'!$A:$A,A64,'KAPASİTE TABLOSU'!$D:$D,"AYRI")</f>
        <v>#REF!</v>
      </c>
      <c r="I64" s="53" t="e">
        <f t="shared" si="1"/>
        <v>#REF!</v>
      </c>
    </row>
    <row r="65" spans="1:9" x14ac:dyDescent="0.25">
      <c r="A65" s="47" t="s">
        <v>191</v>
      </c>
      <c r="B65" s="48">
        <f>COUNTIFS('KAPASİTE TABLOSU'!$A:$A,A65,'KAPASİTE TABLOSU'!$D:$D,"KIZ")</f>
        <v>0</v>
      </c>
      <c r="C65" s="49">
        <f>COUNTIFS('KAPASİTE TABLOSU'!$A:$A,A65,'KAPASİTE TABLOSU'!$D:$D,"ERKEK")</f>
        <v>0</v>
      </c>
      <c r="D65" s="49">
        <f>COUNTIFS('KAPASİTE TABLOSU'!$A:$A,A65,'KAPASİTE TABLOSU'!$D:$D,"AYRI")</f>
        <v>0</v>
      </c>
      <c r="E65" s="50">
        <f t="shared" si="0"/>
        <v>0</v>
      </c>
      <c r="F65" s="51" t="e">
        <f>SUMIFS('KAPASİTE TABLOSU'!#REF!,'KAPASİTE TABLOSU'!$A:$A,A65,'KAPASİTE TABLOSU'!$D:$D,"KIZ")</f>
        <v>#REF!</v>
      </c>
      <c r="G65" s="52" t="e">
        <f>SUMIFS('KAPASİTE TABLOSU'!#REF!,'KAPASİTE TABLOSU'!$A:$A,A65,'KAPASİTE TABLOSU'!$D:$D,"ERKEK")</f>
        <v>#REF!</v>
      </c>
      <c r="H65" s="52" t="e">
        <f>SUMIFS('KAPASİTE TABLOSU'!#REF!,'KAPASİTE TABLOSU'!$A:$A,A65,'KAPASİTE TABLOSU'!$D:$D,"AYRI")</f>
        <v>#REF!</v>
      </c>
      <c r="I65" s="53" t="e">
        <f t="shared" si="1"/>
        <v>#REF!</v>
      </c>
    </row>
    <row r="66" spans="1:9" x14ac:dyDescent="0.25">
      <c r="A66" s="47" t="s">
        <v>16</v>
      </c>
      <c r="B66" s="48">
        <f>COUNTIFS('KAPASİTE TABLOSU'!$A:$A,A66,'KAPASİTE TABLOSU'!$D:$D,"KIZ")</f>
        <v>0</v>
      </c>
      <c r="C66" s="49">
        <f>COUNTIFS('KAPASİTE TABLOSU'!$A:$A,A66,'KAPASİTE TABLOSU'!$D:$D,"ERKEK")</f>
        <v>0</v>
      </c>
      <c r="D66" s="49">
        <f>COUNTIFS('KAPASİTE TABLOSU'!$A:$A,A66,'KAPASİTE TABLOSU'!$D:$D,"AYRI")</f>
        <v>0</v>
      </c>
      <c r="E66" s="50">
        <f t="shared" si="0"/>
        <v>0</v>
      </c>
      <c r="F66" s="51" t="e">
        <f>SUMIFS('KAPASİTE TABLOSU'!#REF!,'KAPASİTE TABLOSU'!$A:$A,A66,'KAPASİTE TABLOSU'!$D:$D,"KIZ")</f>
        <v>#REF!</v>
      </c>
      <c r="G66" s="52" t="e">
        <f>SUMIFS('KAPASİTE TABLOSU'!#REF!,'KAPASİTE TABLOSU'!$A:$A,A66,'KAPASİTE TABLOSU'!$D:$D,"ERKEK")</f>
        <v>#REF!</v>
      </c>
      <c r="H66" s="52" t="e">
        <f>SUMIFS('KAPASİTE TABLOSU'!#REF!,'KAPASİTE TABLOSU'!$A:$A,A66,'KAPASİTE TABLOSU'!$D:$D,"AYRI")</f>
        <v>#REF!</v>
      </c>
      <c r="I66" s="53" t="e">
        <f t="shared" si="1"/>
        <v>#REF!</v>
      </c>
    </row>
    <row r="67" spans="1:9" x14ac:dyDescent="0.25">
      <c r="A67" s="47" t="s">
        <v>195</v>
      </c>
      <c r="B67" s="48">
        <f>COUNTIFS('KAPASİTE TABLOSU'!$A:$A,A67,'KAPASİTE TABLOSU'!$D:$D,"KIZ")</f>
        <v>0</v>
      </c>
      <c r="C67" s="49">
        <f>COUNTIFS('KAPASİTE TABLOSU'!$A:$A,A67,'KAPASİTE TABLOSU'!$D:$D,"ERKEK")</f>
        <v>0</v>
      </c>
      <c r="D67" s="49">
        <f>COUNTIFS('KAPASİTE TABLOSU'!$A:$A,A67,'KAPASİTE TABLOSU'!$D:$D,"AYRI")</f>
        <v>0</v>
      </c>
      <c r="E67" s="50">
        <f t="shared" si="0"/>
        <v>0</v>
      </c>
      <c r="F67" s="51" t="e">
        <f>SUMIFS('KAPASİTE TABLOSU'!#REF!,'KAPASİTE TABLOSU'!$A:$A,A67,'KAPASİTE TABLOSU'!$D:$D,"KIZ")</f>
        <v>#REF!</v>
      </c>
      <c r="G67" s="52" t="e">
        <f>SUMIFS('KAPASİTE TABLOSU'!#REF!,'KAPASİTE TABLOSU'!$A:$A,A67,'KAPASİTE TABLOSU'!$D:$D,"ERKEK")</f>
        <v>#REF!</v>
      </c>
      <c r="H67" s="52" t="e">
        <f>SUMIFS('KAPASİTE TABLOSU'!#REF!,'KAPASİTE TABLOSU'!$A:$A,A67,'KAPASİTE TABLOSU'!$D:$D,"AYRI")</f>
        <v>#REF!</v>
      </c>
      <c r="I67" s="53" t="e">
        <f t="shared" si="1"/>
        <v>#REF!</v>
      </c>
    </row>
    <row r="68" spans="1:9" x14ac:dyDescent="0.25">
      <c r="A68" s="47" t="s">
        <v>45</v>
      </c>
      <c r="B68" s="48">
        <f>COUNTIFS('KAPASİTE TABLOSU'!$A:$A,A68,'KAPASİTE TABLOSU'!$D:$D,"KIZ")</f>
        <v>0</v>
      </c>
      <c r="C68" s="49">
        <f>COUNTIFS('KAPASİTE TABLOSU'!$A:$A,A68,'KAPASİTE TABLOSU'!$D:$D,"ERKEK")</f>
        <v>0</v>
      </c>
      <c r="D68" s="49">
        <f>COUNTIFS('KAPASİTE TABLOSU'!$A:$A,A68,'KAPASİTE TABLOSU'!$D:$D,"AYRI")</f>
        <v>0</v>
      </c>
      <c r="E68" s="50">
        <f t="shared" ref="E68:E84" si="2">SUM(B68:D68)</f>
        <v>0</v>
      </c>
      <c r="F68" s="51" t="e">
        <f>SUMIFS('KAPASİTE TABLOSU'!#REF!,'KAPASİTE TABLOSU'!$A:$A,A68,'KAPASİTE TABLOSU'!$D:$D,"KIZ")</f>
        <v>#REF!</v>
      </c>
      <c r="G68" s="52" t="e">
        <f>SUMIFS('KAPASİTE TABLOSU'!#REF!,'KAPASİTE TABLOSU'!$A:$A,A68,'KAPASİTE TABLOSU'!$D:$D,"ERKEK")</f>
        <v>#REF!</v>
      </c>
      <c r="H68" s="52" t="e">
        <f>SUMIFS('KAPASİTE TABLOSU'!#REF!,'KAPASİTE TABLOSU'!$A:$A,A68,'KAPASİTE TABLOSU'!$D:$D,"AYRI")</f>
        <v>#REF!</v>
      </c>
      <c r="I68" s="53" t="e">
        <f t="shared" ref="I68:I84" si="3">SUM(F68:H68)</f>
        <v>#REF!</v>
      </c>
    </row>
    <row r="69" spans="1:9" x14ac:dyDescent="0.25">
      <c r="A69" s="47" t="s">
        <v>165</v>
      </c>
      <c r="B69" s="48">
        <f>COUNTIFS('KAPASİTE TABLOSU'!$A:$A,A69,'KAPASİTE TABLOSU'!$D:$D,"KIZ")</f>
        <v>0</v>
      </c>
      <c r="C69" s="49">
        <f>COUNTIFS('KAPASİTE TABLOSU'!$A:$A,A69,'KAPASİTE TABLOSU'!$D:$D,"ERKEK")</f>
        <v>0</v>
      </c>
      <c r="D69" s="49">
        <f>COUNTIFS('KAPASİTE TABLOSU'!$A:$A,A69,'KAPASİTE TABLOSU'!$D:$D,"AYRI")</f>
        <v>0</v>
      </c>
      <c r="E69" s="50">
        <f t="shared" si="2"/>
        <v>0</v>
      </c>
      <c r="F69" s="51" t="e">
        <f>SUMIFS('KAPASİTE TABLOSU'!#REF!,'KAPASİTE TABLOSU'!$A:$A,A69,'KAPASİTE TABLOSU'!$D:$D,"KIZ")</f>
        <v>#REF!</v>
      </c>
      <c r="G69" s="52" t="e">
        <f>SUMIFS('KAPASİTE TABLOSU'!#REF!,'KAPASİTE TABLOSU'!$A:$A,A69,'KAPASİTE TABLOSU'!$D:$D,"ERKEK")</f>
        <v>#REF!</v>
      </c>
      <c r="H69" s="52" t="e">
        <f>SUMIFS('KAPASİTE TABLOSU'!#REF!,'KAPASİTE TABLOSU'!$A:$A,A69,'KAPASİTE TABLOSU'!$D:$D,"AYRI")</f>
        <v>#REF!</v>
      </c>
      <c r="I69" s="53" t="e">
        <f t="shared" si="3"/>
        <v>#REF!</v>
      </c>
    </row>
    <row r="70" spans="1:9" x14ac:dyDescent="0.25">
      <c r="A70" s="47" t="s">
        <v>75</v>
      </c>
      <c r="B70" s="48">
        <f>COUNTIFS('KAPASİTE TABLOSU'!$A:$A,A70,'KAPASİTE TABLOSU'!$D:$D,"KIZ")</f>
        <v>0</v>
      </c>
      <c r="C70" s="49">
        <f>COUNTIFS('KAPASİTE TABLOSU'!$A:$A,A70,'KAPASİTE TABLOSU'!$D:$D,"ERKEK")</f>
        <v>0</v>
      </c>
      <c r="D70" s="49">
        <f>COUNTIFS('KAPASİTE TABLOSU'!$A:$A,A70,'KAPASİTE TABLOSU'!$D:$D,"AYRI")</f>
        <v>0</v>
      </c>
      <c r="E70" s="50">
        <f t="shared" si="2"/>
        <v>0</v>
      </c>
      <c r="F70" s="51" t="e">
        <f>SUMIFS('KAPASİTE TABLOSU'!#REF!,'KAPASİTE TABLOSU'!$A:$A,A70,'KAPASİTE TABLOSU'!$D:$D,"KIZ")</f>
        <v>#REF!</v>
      </c>
      <c r="G70" s="52" t="e">
        <f>SUMIFS('KAPASİTE TABLOSU'!#REF!,'KAPASİTE TABLOSU'!$A:$A,A70,'KAPASİTE TABLOSU'!$D:$D,"ERKEK")</f>
        <v>#REF!</v>
      </c>
      <c r="H70" s="52" t="e">
        <f>SUMIFS('KAPASİTE TABLOSU'!#REF!,'KAPASİTE TABLOSU'!$A:$A,A70,'KAPASİTE TABLOSU'!$D:$D,"AYRI")</f>
        <v>#REF!</v>
      </c>
      <c r="I70" s="53" t="e">
        <f t="shared" si="3"/>
        <v>#REF!</v>
      </c>
    </row>
    <row r="71" spans="1:9" x14ac:dyDescent="0.25">
      <c r="A71" s="47" t="s">
        <v>172</v>
      </c>
      <c r="B71" s="48">
        <f>COUNTIFS('KAPASİTE TABLOSU'!$A:$A,A71,'KAPASİTE TABLOSU'!$D:$D,"KIZ")</f>
        <v>0</v>
      </c>
      <c r="C71" s="49">
        <f>COUNTIFS('KAPASİTE TABLOSU'!$A:$A,A71,'KAPASİTE TABLOSU'!$D:$D,"ERKEK")</f>
        <v>0</v>
      </c>
      <c r="D71" s="49">
        <f>COUNTIFS('KAPASİTE TABLOSU'!$A:$A,A71,'KAPASİTE TABLOSU'!$D:$D,"AYRI")</f>
        <v>0</v>
      </c>
      <c r="E71" s="50">
        <f t="shared" si="2"/>
        <v>0</v>
      </c>
      <c r="F71" s="51" t="e">
        <f>SUMIFS('KAPASİTE TABLOSU'!#REF!,'KAPASİTE TABLOSU'!$A:$A,A71,'KAPASİTE TABLOSU'!$D:$D,"KIZ")</f>
        <v>#REF!</v>
      </c>
      <c r="G71" s="52" t="e">
        <f>SUMIFS('KAPASİTE TABLOSU'!#REF!,'KAPASİTE TABLOSU'!$A:$A,A71,'KAPASİTE TABLOSU'!$D:$D,"ERKEK")</f>
        <v>#REF!</v>
      </c>
      <c r="H71" s="52" t="e">
        <f>SUMIFS('KAPASİTE TABLOSU'!#REF!,'KAPASİTE TABLOSU'!$A:$A,A71,'KAPASİTE TABLOSU'!$D:$D,"AYRI")</f>
        <v>#REF!</v>
      </c>
      <c r="I71" s="53" t="e">
        <f t="shared" si="3"/>
        <v>#REF!</v>
      </c>
    </row>
    <row r="72" spans="1:9" x14ac:dyDescent="0.25">
      <c r="A72" s="47" t="s">
        <v>139</v>
      </c>
      <c r="B72" s="48">
        <f>COUNTIFS('KAPASİTE TABLOSU'!$A:$A,A72,'KAPASİTE TABLOSU'!$D:$D,"KIZ")</f>
        <v>0</v>
      </c>
      <c r="C72" s="49">
        <f>COUNTIFS('KAPASİTE TABLOSU'!$A:$A,A72,'KAPASİTE TABLOSU'!$D:$D,"ERKEK")</f>
        <v>0</v>
      </c>
      <c r="D72" s="49">
        <f>COUNTIFS('KAPASİTE TABLOSU'!$A:$A,A72,'KAPASİTE TABLOSU'!$D:$D,"AYRI")</f>
        <v>0</v>
      </c>
      <c r="E72" s="50">
        <f t="shared" si="2"/>
        <v>0</v>
      </c>
      <c r="F72" s="51" t="e">
        <f>SUMIFS('KAPASİTE TABLOSU'!#REF!,'KAPASİTE TABLOSU'!$A:$A,A72,'KAPASİTE TABLOSU'!$D:$D,"KIZ")</f>
        <v>#REF!</v>
      </c>
      <c r="G72" s="52" t="e">
        <f>SUMIFS('KAPASİTE TABLOSU'!#REF!,'KAPASİTE TABLOSU'!$A:$A,A72,'KAPASİTE TABLOSU'!$D:$D,"ERKEK")</f>
        <v>#REF!</v>
      </c>
      <c r="H72" s="52" t="e">
        <f>SUMIFS('KAPASİTE TABLOSU'!#REF!,'KAPASİTE TABLOSU'!$A:$A,A72,'KAPASİTE TABLOSU'!$D:$D,"AYRI")</f>
        <v>#REF!</v>
      </c>
      <c r="I72" s="53" t="e">
        <f t="shared" si="3"/>
        <v>#REF!</v>
      </c>
    </row>
    <row r="73" spans="1:9" x14ac:dyDescent="0.25">
      <c r="A73" s="47" t="s">
        <v>118</v>
      </c>
      <c r="B73" s="48">
        <f>COUNTIFS('KAPASİTE TABLOSU'!$A:$A,A73,'KAPASİTE TABLOSU'!$D:$D,"KIZ")</f>
        <v>0</v>
      </c>
      <c r="C73" s="49">
        <f>COUNTIFS('KAPASİTE TABLOSU'!$A:$A,A73,'KAPASİTE TABLOSU'!$D:$D,"ERKEK")</f>
        <v>0</v>
      </c>
      <c r="D73" s="49">
        <f>COUNTIFS('KAPASİTE TABLOSU'!$A:$A,A73,'KAPASİTE TABLOSU'!$D:$D,"AYRI")</f>
        <v>0</v>
      </c>
      <c r="E73" s="50">
        <f t="shared" si="2"/>
        <v>0</v>
      </c>
      <c r="F73" s="51" t="e">
        <f>SUMIFS('KAPASİTE TABLOSU'!#REF!,'KAPASİTE TABLOSU'!$A:$A,A73,'KAPASİTE TABLOSU'!$D:$D,"KIZ")</f>
        <v>#REF!</v>
      </c>
      <c r="G73" s="52" t="e">
        <f>SUMIFS('KAPASİTE TABLOSU'!#REF!,'KAPASİTE TABLOSU'!$A:$A,A73,'KAPASİTE TABLOSU'!$D:$D,"ERKEK")</f>
        <v>#REF!</v>
      </c>
      <c r="H73" s="52" t="e">
        <f>SUMIFS('KAPASİTE TABLOSU'!#REF!,'KAPASİTE TABLOSU'!$A:$A,A73,'KAPASİTE TABLOSU'!$D:$D,"AYRI")</f>
        <v>#REF!</v>
      </c>
      <c r="I73" s="53" t="e">
        <f t="shared" si="3"/>
        <v>#REF!</v>
      </c>
    </row>
    <row r="74" spans="1:9" x14ac:dyDescent="0.25">
      <c r="A74" s="47" t="s">
        <v>211</v>
      </c>
      <c r="B74" s="48">
        <f>COUNTIFS('KAPASİTE TABLOSU'!$A:$A,A74,'KAPASİTE TABLOSU'!$D:$D,"KIZ")</f>
        <v>0</v>
      </c>
      <c r="C74" s="49">
        <f>COUNTIFS('KAPASİTE TABLOSU'!$A:$A,A74,'KAPASİTE TABLOSU'!$D:$D,"ERKEK")</f>
        <v>0</v>
      </c>
      <c r="D74" s="49">
        <f>COUNTIFS('KAPASİTE TABLOSU'!$A:$A,A74,'KAPASİTE TABLOSU'!$D:$D,"AYRI")</f>
        <v>0</v>
      </c>
      <c r="E74" s="50">
        <f t="shared" si="2"/>
        <v>0</v>
      </c>
      <c r="F74" s="51" t="e">
        <f>SUMIFS('KAPASİTE TABLOSU'!#REF!,'KAPASİTE TABLOSU'!$A:$A,A74,'KAPASİTE TABLOSU'!$D:$D,"KIZ")</f>
        <v>#REF!</v>
      </c>
      <c r="G74" s="52" t="e">
        <f>SUMIFS('KAPASİTE TABLOSU'!#REF!,'KAPASİTE TABLOSU'!$A:$A,A74,'KAPASİTE TABLOSU'!$D:$D,"ERKEK")</f>
        <v>#REF!</v>
      </c>
      <c r="H74" s="52" t="e">
        <f>SUMIFS('KAPASİTE TABLOSU'!#REF!,'KAPASİTE TABLOSU'!$A:$A,A74,'KAPASİTE TABLOSU'!$D:$D,"AYRI")</f>
        <v>#REF!</v>
      </c>
      <c r="I74" s="53" t="e">
        <f t="shared" si="3"/>
        <v>#REF!</v>
      </c>
    </row>
    <row r="75" spans="1:9" x14ac:dyDescent="0.25">
      <c r="A75" s="47" t="s">
        <v>82</v>
      </c>
      <c r="B75" s="48">
        <f>COUNTIFS('KAPASİTE TABLOSU'!$A:$A,A75,'KAPASİTE TABLOSU'!$D:$D,"KIZ")</f>
        <v>0</v>
      </c>
      <c r="C75" s="49">
        <f>COUNTIFS('KAPASİTE TABLOSU'!$A:$A,A75,'KAPASİTE TABLOSU'!$D:$D,"ERKEK")</f>
        <v>0</v>
      </c>
      <c r="D75" s="49">
        <f>COUNTIFS('KAPASİTE TABLOSU'!$A:$A,A75,'KAPASİTE TABLOSU'!$D:$D,"AYRI")</f>
        <v>0</v>
      </c>
      <c r="E75" s="50">
        <f t="shared" si="2"/>
        <v>0</v>
      </c>
      <c r="F75" s="51" t="e">
        <f>SUMIFS('KAPASİTE TABLOSU'!#REF!,'KAPASİTE TABLOSU'!$A:$A,A75,'KAPASİTE TABLOSU'!$D:$D,"KIZ")</f>
        <v>#REF!</v>
      </c>
      <c r="G75" s="52" t="e">
        <f>SUMIFS('KAPASİTE TABLOSU'!#REF!,'KAPASİTE TABLOSU'!$A:$A,A75,'KAPASİTE TABLOSU'!$D:$D,"ERKEK")</f>
        <v>#REF!</v>
      </c>
      <c r="H75" s="52" t="e">
        <f>SUMIFS('KAPASİTE TABLOSU'!#REF!,'KAPASİTE TABLOSU'!$A:$A,A75,'KAPASİTE TABLOSU'!$D:$D,"AYRI")</f>
        <v>#REF!</v>
      </c>
      <c r="I75" s="53" t="e">
        <f t="shared" si="3"/>
        <v>#REF!</v>
      </c>
    </row>
    <row r="76" spans="1:9" x14ac:dyDescent="0.25">
      <c r="A76" s="47" t="s">
        <v>174</v>
      </c>
      <c r="B76" s="48">
        <f>COUNTIFS('KAPASİTE TABLOSU'!$A:$A,A76,'KAPASİTE TABLOSU'!$D:$D,"KIZ")</f>
        <v>0</v>
      </c>
      <c r="C76" s="49">
        <f>COUNTIFS('KAPASİTE TABLOSU'!$A:$A,A76,'KAPASİTE TABLOSU'!$D:$D,"ERKEK")</f>
        <v>0</v>
      </c>
      <c r="D76" s="49">
        <f>COUNTIFS('KAPASİTE TABLOSU'!$A:$A,A76,'KAPASİTE TABLOSU'!$D:$D,"AYRI")</f>
        <v>0</v>
      </c>
      <c r="E76" s="50">
        <f t="shared" si="2"/>
        <v>0</v>
      </c>
      <c r="F76" s="51" t="e">
        <f>SUMIFS('KAPASİTE TABLOSU'!#REF!,'KAPASİTE TABLOSU'!$A:$A,A76,'KAPASİTE TABLOSU'!$D:$D,"KIZ")</f>
        <v>#REF!</v>
      </c>
      <c r="G76" s="52" t="e">
        <f>SUMIFS('KAPASİTE TABLOSU'!#REF!,'KAPASİTE TABLOSU'!$A:$A,A76,'KAPASİTE TABLOSU'!$D:$D,"ERKEK")</f>
        <v>#REF!</v>
      </c>
      <c r="H76" s="52" t="e">
        <f>SUMIFS('KAPASİTE TABLOSU'!#REF!,'KAPASİTE TABLOSU'!$A:$A,A76,'KAPASİTE TABLOSU'!$D:$D,"AYRI")</f>
        <v>#REF!</v>
      </c>
      <c r="I76" s="53" t="e">
        <f t="shared" si="3"/>
        <v>#REF!</v>
      </c>
    </row>
    <row r="77" spans="1:9" x14ac:dyDescent="0.25">
      <c r="A77" s="47" t="s">
        <v>179</v>
      </c>
      <c r="B77" s="48">
        <f>COUNTIFS('KAPASİTE TABLOSU'!$A:$A,A77,'KAPASİTE TABLOSU'!$D:$D,"KIZ")</f>
        <v>0</v>
      </c>
      <c r="C77" s="49">
        <f>COUNTIFS('KAPASİTE TABLOSU'!$A:$A,A77,'KAPASİTE TABLOSU'!$D:$D,"ERKEK")</f>
        <v>0</v>
      </c>
      <c r="D77" s="49">
        <f>COUNTIFS('KAPASİTE TABLOSU'!$A:$A,A77,'KAPASİTE TABLOSU'!$D:$D,"AYRI")</f>
        <v>0</v>
      </c>
      <c r="E77" s="50">
        <f t="shared" si="2"/>
        <v>0</v>
      </c>
      <c r="F77" s="51" t="e">
        <f>SUMIFS('KAPASİTE TABLOSU'!#REF!,'KAPASİTE TABLOSU'!$A:$A,A77,'KAPASİTE TABLOSU'!$D:$D,"KIZ")</f>
        <v>#REF!</v>
      </c>
      <c r="G77" s="52" t="e">
        <f>SUMIFS('KAPASİTE TABLOSU'!#REF!,'KAPASİTE TABLOSU'!$A:$A,A77,'KAPASİTE TABLOSU'!$D:$D,"ERKEK")</f>
        <v>#REF!</v>
      </c>
      <c r="H77" s="52" t="e">
        <f>SUMIFS('KAPASİTE TABLOSU'!#REF!,'KAPASİTE TABLOSU'!$A:$A,A77,'KAPASİTE TABLOSU'!$D:$D,"AYRI")</f>
        <v>#REF!</v>
      </c>
      <c r="I77" s="53" t="e">
        <f t="shared" si="3"/>
        <v>#REF!</v>
      </c>
    </row>
    <row r="78" spans="1:9" x14ac:dyDescent="0.25">
      <c r="A78" s="47" t="s">
        <v>164</v>
      </c>
      <c r="B78" s="48">
        <f>COUNTIFS('KAPASİTE TABLOSU'!$A:$A,A78,'KAPASİTE TABLOSU'!$D:$D,"KIZ")</f>
        <v>0</v>
      </c>
      <c r="C78" s="49">
        <f>COUNTIFS('KAPASİTE TABLOSU'!$A:$A,A78,'KAPASİTE TABLOSU'!$D:$D,"ERKEK")</f>
        <v>0</v>
      </c>
      <c r="D78" s="49">
        <f>COUNTIFS('KAPASİTE TABLOSU'!$A:$A,A78,'KAPASİTE TABLOSU'!$D:$D,"AYRI")</f>
        <v>0</v>
      </c>
      <c r="E78" s="50">
        <f t="shared" si="2"/>
        <v>0</v>
      </c>
      <c r="F78" s="51" t="e">
        <f>SUMIFS('KAPASİTE TABLOSU'!#REF!,'KAPASİTE TABLOSU'!$A:$A,A78,'KAPASİTE TABLOSU'!$D:$D,"KIZ")</f>
        <v>#REF!</v>
      </c>
      <c r="G78" s="52" t="e">
        <f>SUMIFS('KAPASİTE TABLOSU'!#REF!,'KAPASİTE TABLOSU'!$A:$A,A78,'KAPASİTE TABLOSU'!$D:$D,"ERKEK")</f>
        <v>#REF!</v>
      </c>
      <c r="H78" s="52" t="e">
        <f>SUMIFS('KAPASİTE TABLOSU'!#REF!,'KAPASİTE TABLOSU'!$A:$A,A78,'KAPASİTE TABLOSU'!$D:$D,"AYRI")</f>
        <v>#REF!</v>
      </c>
      <c r="I78" s="53" t="e">
        <f t="shared" si="3"/>
        <v>#REF!</v>
      </c>
    </row>
    <row r="79" spans="1:9" x14ac:dyDescent="0.25">
      <c r="A79" s="47" t="s">
        <v>70</v>
      </c>
      <c r="B79" s="48">
        <f>COUNTIFS('KAPASİTE TABLOSU'!$A:$A,A79,'KAPASİTE TABLOSU'!$D:$D,"KIZ")</f>
        <v>0</v>
      </c>
      <c r="C79" s="49">
        <f>COUNTIFS('KAPASİTE TABLOSU'!$A:$A,A79,'KAPASİTE TABLOSU'!$D:$D,"ERKEK")</f>
        <v>0</v>
      </c>
      <c r="D79" s="49">
        <f>COUNTIFS('KAPASİTE TABLOSU'!$A:$A,A79,'KAPASİTE TABLOSU'!$D:$D,"AYRI")</f>
        <v>0</v>
      </c>
      <c r="E79" s="50">
        <f t="shared" si="2"/>
        <v>0</v>
      </c>
      <c r="F79" s="51" t="e">
        <f>SUMIFS('KAPASİTE TABLOSU'!#REF!,'KAPASİTE TABLOSU'!$A:$A,A79,'KAPASİTE TABLOSU'!$D:$D,"KIZ")</f>
        <v>#REF!</v>
      </c>
      <c r="G79" s="52" t="e">
        <f>SUMIFS('KAPASİTE TABLOSU'!#REF!,'KAPASİTE TABLOSU'!$A:$A,A79,'KAPASİTE TABLOSU'!$D:$D,"ERKEK")</f>
        <v>#REF!</v>
      </c>
      <c r="H79" s="52" t="e">
        <f>SUMIFS('KAPASİTE TABLOSU'!#REF!,'KAPASİTE TABLOSU'!$A:$A,A79,'KAPASİTE TABLOSU'!$D:$D,"AYRI")</f>
        <v>#REF!</v>
      </c>
      <c r="I79" s="53" t="e">
        <f t="shared" si="3"/>
        <v>#REF!</v>
      </c>
    </row>
    <row r="80" spans="1:9" x14ac:dyDescent="0.25">
      <c r="A80" s="47" t="s">
        <v>200</v>
      </c>
      <c r="B80" s="48">
        <f>COUNTIFS('KAPASİTE TABLOSU'!$A:$A,A80,'KAPASİTE TABLOSU'!$D:$D,"KIZ")</f>
        <v>0</v>
      </c>
      <c r="C80" s="49">
        <f>COUNTIFS('KAPASİTE TABLOSU'!$A:$A,A80,'KAPASİTE TABLOSU'!$D:$D,"ERKEK")</f>
        <v>0</v>
      </c>
      <c r="D80" s="49">
        <f>COUNTIFS('KAPASİTE TABLOSU'!$A:$A,A80,'KAPASİTE TABLOSU'!$D:$D,"AYRI")</f>
        <v>0</v>
      </c>
      <c r="E80" s="50">
        <f t="shared" si="2"/>
        <v>0</v>
      </c>
      <c r="F80" s="51" t="e">
        <f>SUMIFS('KAPASİTE TABLOSU'!#REF!,'KAPASİTE TABLOSU'!$A:$A,A80,'KAPASİTE TABLOSU'!$D:$D,"KIZ")</f>
        <v>#REF!</v>
      </c>
      <c r="G80" s="52" t="e">
        <f>SUMIFS('KAPASİTE TABLOSU'!#REF!,'KAPASİTE TABLOSU'!$A:$A,A80,'KAPASİTE TABLOSU'!$D:$D,"ERKEK")</f>
        <v>#REF!</v>
      </c>
      <c r="H80" s="52" t="e">
        <f>SUMIFS('KAPASİTE TABLOSU'!#REF!,'KAPASİTE TABLOSU'!$A:$A,A80,'KAPASİTE TABLOSU'!$D:$D,"AYRI")</f>
        <v>#REF!</v>
      </c>
      <c r="I80" s="53" t="e">
        <f t="shared" si="3"/>
        <v>#REF!</v>
      </c>
    </row>
    <row r="81" spans="1:9" x14ac:dyDescent="0.25">
      <c r="A81" s="47" t="s">
        <v>55</v>
      </c>
      <c r="B81" s="48">
        <f>COUNTIFS('KAPASİTE TABLOSU'!$A:$A,A81,'KAPASİTE TABLOSU'!$D:$D,"KIZ")</f>
        <v>0</v>
      </c>
      <c r="C81" s="49">
        <f>COUNTIFS('KAPASİTE TABLOSU'!$A:$A,A81,'KAPASİTE TABLOSU'!$D:$D,"ERKEK")</f>
        <v>0</v>
      </c>
      <c r="D81" s="49">
        <f>COUNTIFS('KAPASİTE TABLOSU'!$A:$A,A81,'KAPASİTE TABLOSU'!$D:$D,"AYRI")</f>
        <v>0</v>
      </c>
      <c r="E81" s="50">
        <f t="shared" si="2"/>
        <v>0</v>
      </c>
      <c r="F81" s="51" t="e">
        <f>SUMIFS('KAPASİTE TABLOSU'!#REF!,'KAPASİTE TABLOSU'!$A:$A,A81,'KAPASİTE TABLOSU'!$D:$D,"KIZ")</f>
        <v>#REF!</v>
      </c>
      <c r="G81" s="52" t="e">
        <f>SUMIFS('KAPASİTE TABLOSU'!#REF!,'KAPASİTE TABLOSU'!$A:$A,A81,'KAPASİTE TABLOSU'!$D:$D,"ERKEK")</f>
        <v>#REF!</v>
      </c>
      <c r="H81" s="52" t="e">
        <f>SUMIFS('KAPASİTE TABLOSU'!#REF!,'KAPASİTE TABLOSU'!$A:$A,A81,'KAPASİTE TABLOSU'!$D:$D,"AYRI")</f>
        <v>#REF!</v>
      </c>
      <c r="I81" s="53" t="e">
        <f t="shared" si="3"/>
        <v>#REF!</v>
      </c>
    </row>
    <row r="82" spans="1:9" x14ac:dyDescent="0.25">
      <c r="A82" s="47" t="s">
        <v>144</v>
      </c>
      <c r="B82" s="48">
        <f>COUNTIFS('KAPASİTE TABLOSU'!$A:$A,A82,'KAPASİTE TABLOSU'!$D:$D,"KIZ")</f>
        <v>0</v>
      </c>
      <c r="C82" s="49">
        <f>COUNTIFS('KAPASİTE TABLOSU'!$A:$A,A82,'KAPASİTE TABLOSU'!$D:$D,"ERKEK")</f>
        <v>0</v>
      </c>
      <c r="D82" s="49">
        <f>COUNTIFS('KAPASİTE TABLOSU'!$A:$A,A82,'KAPASİTE TABLOSU'!$D:$D,"AYRI")</f>
        <v>0</v>
      </c>
      <c r="E82" s="50">
        <f t="shared" si="2"/>
        <v>0</v>
      </c>
      <c r="F82" s="51" t="e">
        <f>SUMIFS('KAPASİTE TABLOSU'!#REF!,'KAPASİTE TABLOSU'!$A:$A,A82,'KAPASİTE TABLOSU'!$D:$D,"KIZ")</f>
        <v>#REF!</v>
      </c>
      <c r="G82" s="52" t="e">
        <f>SUMIFS('KAPASİTE TABLOSU'!#REF!,'KAPASİTE TABLOSU'!$A:$A,A82,'KAPASİTE TABLOSU'!$D:$D,"ERKEK")</f>
        <v>#REF!</v>
      </c>
      <c r="H82" s="52" t="e">
        <f>SUMIFS('KAPASİTE TABLOSU'!#REF!,'KAPASİTE TABLOSU'!$A:$A,A82,'KAPASİTE TABLOSU'!$D:$D,"AYRI")</f>
        <v>#REF!</v>
      </c>
      <c r="I82" s="53" t="e">
        <f t="shared" si="3"/>
        <v>#REF!</v>
      </c>
    </row>
    <row r="83" spans="1:9" x14ac:dyDescent="0.25">
      <c r="A83" s="47" t="s">
        <v>212</v>
      </c>
      <c r="B83" s="48">
        <f>COUNTIFS('KAPASİTE TABLOSU'!$A:$A,A83,'KAPASİTE TABLOSU'!$D:$D,"KIZ")</f>
        <v>0</v>
      </c>
      <c r="C83" s="49">
        <f>COUNTIFS('KAPASİTE TABLOSU'!$A:$A,A83,'KAPASİTE TABLOSU'!$D:$D,"ERKEK")</f>
        <v>0</v>
      </c>
      <c r="D83" s="49">
        <f>COUNTIFS('KAPASİTE TABLOSU'!$A:$A,A83,'KAPASİTE TABLOSU'!$D:$D,"AYRI")</f>
        <v>0</v>
      </c>
      <c r="E83" s="50">
        <f t="shared" si="2"/>
        <v>0</v>
      </c>
      <c r="F83" s="51" t="e">
        <f>SUMIFS('KAPASİTE TABLOSU'!#REF!,'KAPASİTE TABLOSU'!$A:$A,A83,'KAPASİTE TABLOSU'!$D:$D,"KIZ")</f>
        <v>#REF!</v>
      </c>
      <c r="G83" s="52" t="e">
        <f>SUMIFS('KAPASİTE TABLOSU'!#REF!,'KAPASİTE TABLOSU'!$A:$A,A83,'KAPASİTE TABLOSU'!$D:$D,"ERKEK")</f>
        <v>#REF!</v>
      </c>
      <c r="H83" s="52" t="e">
        <f>SUMIFS('KAPASİTE TABLOSU'!#REF!,'KAPASİTE TABLOSU'!$A:$A,A83,'KAPASİTE TABLOSU'!$D:$D,"AYRI")</f>
        <v>#REF!</v>
      </c>
      <c r="I83" s="53" t="e">
        <f t="shared" si="3"/>
        <v>#REF!</v>
      </c>
    </row>
    <row r="84" spans="1:9" ht="15.75" thickBot="1" x14ac:dyDescent="0.3">
      <c r="A84" s="55" t="s">
        <v>560</v>
      </c>
      <c r="B84" s="56">
        <f>COUNTIFS('KAPASİTE TABLOSU'!$A:$A,A84,'KAPASİTE TABLOSU'!$D:$D,"KIZ")</f>
        <v>0</v>
      </c>
      <c r="C84" s="57">
        <f>COUNTIFS('KAPASİTE TABLOSU'!$A:$A,A84,'KAPASİTE TABLOSU'!$D:$D,"ERKEK")</f>
        <v>0</v>
      </c>
      <c r="D84" s="57">
        <f>COUNTIFS('KAPASİTE TABLOSU'!$A:$A,A84,'KAPASİTE TABLOSU'!$D:$D,"AYRI")</f>
        <v>0</v>
      </c>
      <c r="E84" s="58">
        <f t="shared" si="2"/>
        <v>0</v>
      </c>
      <c r="F84" s="59" t="e">
        <f>SUMIFS('KAPASİTE TABLOSU'!#REF!,'KAPASİTE TABLOSU'!$A:$A,A84,'KAPASİTE TABLOSU'!$D:$D,"KIZ")</f>
        <v>#REF!</v>
      </c>
      <c r="G84" s="60" t="e">
        <f>SUMIFS('KAPASİTE TABLOSU'!#REF!,'KAPASİTE TABLOSU'!$A:$A,A84,'KAPASİTE TABLOSU'!$D:$D,"ERKEK")</f>
        <v>#REF!</v>
      </c>
      <c r="H84" s="60" t="e">
        <f>SUMIFS('KAPASİTE TABLOSU'!#REF!,'KAPASİTE TABLOSU'!$A:$A,A84,'KAPASİTE TABLOSU'!$D:$D,"AYRI")</f>
        <v>#REF!</v>
      </c>
      <c r="I84" s="61" t="e">
        <f t="shared" si="3"/>
        <v>#REF!</v>
      </c>
    </row>
    <row r="85" spans="1:9" ht="30" customHeight="1" thickBot="1" x14ac:dyDescent="0.3">
      <c r="A85" s="62" t="s">
        <v>3</v>
      </c>
      <c r="B85" s="63">
        <f t="shared" ref="B85:I85" si="4">SUM(B3:B84)</f>
        <v>0</v>
      </c>
      <c r="C85" s="64">
        <f t="shared" si="4"/>
        <v>0</v>
      </c>
      <c r="D85" s="64">
        <f t="shared" si="4"/>
        <v>0</v>
      </c>
      <c r="E85" s="65">
        <f t="shared" si="4"/>
        <v>0</v>
      </c>
      <c r="F85" s="66" t="e">
        <f t="shared" si="4"/>
        <v>#REF!</v>
      </c>
      <c r="G85" s="67" t="e">
        <f t="shared" si="4"/>
        <v>#REF!</v>
      </c>
      <c r="H85" s="67" t="e">
        <f t="shared" si="4"/>
        <v>#REF!</v>
      </c>
      <c r="I85" s="68" t="e">
        <f t="shared" si="4"/>
        <v>#REF!</v>
      </c>
    </row>
  </sheetData>
  <mergeCells count="3">
    <mergeCell ref="A1:A2"/>
    <mergeCell ref="B1:E1"/>
    <mergeCell ref="F1:I1"/>
  </mergeCells>
  <pageMargins left="0.15748031496062992" right="0.15748031496062992" top="0.48" bottom="0.43307086614173229" header="0.15748031496062992" footer="0.15748031496062992"/>
  <pageSetup paperSize="9" scale="80" fitToHeight="0" orientation="portrait" r:id="rId1"/>
  <headerFooter>
    <oddHeader>&amp;C&amp;"Arial Tur,Kalın"&amp;14YURT TİPLERİNE GÖRE YURT SAYILARI VE KAPASİTE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KAPASİTE TABLOSU</vt:lpstr>
      <vt:lpstr>İL-İLÇE BAZINDA KAPASİTE</vt:lpstr>
      <vt:lpstr>YURT TİPİ</vt:lpstr>
      <vt:lpstr>'İL-İLÇE BAZINDA KAPASİTE'!Yazdırma_Başlıkları</vt:lpstr>
      <vt:lpstr>'KAPASİTE TABLOSU'!Yazdırma_Başlıkları</vt:lpstr>
      <vt:lpstr>'YURT TİPİ'!Yazdırma_Başlıkları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Selim TİMTİK</cp:lastModifiedBy>
  <cp:lastPrinted>2016-05-30T11:40:24Z</cp:lastPrinted>
  <dcterms:created xsi:type="dcterms:W3CDTF">2014-02-24T08:37:19Z</dcterms:created>
  <dcterms:modified xsi:type="dcterms:W3CDTF">2016-06-23T07:48:16Z</dcterms:modified>
</cp:coreProperties>
</file>